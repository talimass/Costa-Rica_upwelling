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sta_rica-2025\Coral_net\"/>
    </mc:Choice>
  </mc:AlternateContent>
  <xr:revisionPtr revIDLastSave="0" documentId="13_ncr:1_{A02F2343-DE48-405C-9AFE-09C01A4216AF}" xr6:coauthVersionLast="36" xr6:coauthVersionMax="36" xr10:uidLastSave="{00000000-0000-0000-0000-000000000000}"/>
  <bookViews>
    <workbookView xWindow="240" yWindow="12" windowWidth="16092" windowHeight="9660" firstSheet="3" activeTab="7" xr2:uid="{00000000-000D-0000-FFFF-FFFF00000000}"/>
  </bookViews>
  <sheets>
    <sheet name="Original Data" sheetId="6" r:id="rId1"/>
    <sheet name="With Stats" sheetId="5" r:id="rId2"/>
    <sheet name="Photos_Averages" sheetId="1" r:id="rId3"/>
    <sheet name="Site_Averages_combined" sheetId="3" r:id="rId4"/>
    <sheet name="Transect_Averages" sheetId="2" r:id="rId5"/>
    <sheet name="Site_Averages_corals_X" sheetId="4" r:id="rId6"/>
    <sheet name="Normalety" sheetId="7" r:id="rId7"/>
    <sheet name="homogeneity of variances" sheetId="8" r:id="rId8"/>
  </sheets>
  <calcPr calcId="191029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2" i="3"/>
  <c r="F14" i="4" l="1"/>
  <c r="H15" i="4"/>
  <c r="H16" i="4"/>
  <c r="H17" i="4"/>
  <c r="H18" i="4"/>
  <c r="H19" i="4"/>
  <c r="H20" i="4"/>
  <c r="H21" i="4"/>
  <c r="H22" i="4"/>
  <c r="H23" i="4"/>
  <c r="H14" i="4"/>
  <c r="AI15" i="4" l="1"/>
  <c r="AI14" i="4"/>
  <c r="AD14" i="4"/>
  <c r="J15" i="4"/>
  <c r="J16" i="4"/>
  <c r="J17" i="4"/>
  <c r="J18" i="4"/>
  <c r="J19" i="4"/>
  <c r="J20" i="4"/>
  <c r="J21" i="4"/>
  <c r="J22" i="4"/>
  <c r="J23" i="4"/>
  <c r="J14" i="4"/>
  <c r="U15" i="4"/>
  <c r="U14" i="4"/>
  <c r="Y15" i="4"/>
  <c r="Z15" i="4"/>
  <c r="Z14" i="4"/>
  <c r="Y14" i="4"/>
  <c r="X14" i="4"/>
  <c r="F15" i="4"/>
  <c r="F16" i="4"/>
  <c r="F17" i="4"/>
  <c r="F18" i="4"/>
  <c r="F19" i="4"/>
  <c r="F20" i="4"/>
  <c r="F21" i="4"/>
  <c r="F22" i="4"/>
  <c r="F23" i="4"/>
  <c r="I15" i="4"/>
  <c r="I16" i="4"/>
  <c r="I17" i="4"/>
  <c r="I18" i="4"/>
  <c r="I19" i="4"/>
  <c r="I20" i="4"/>
  <c r="I21" i="4"/>
  <c r="I22" i="4"/>
  <c r="I23" i="4"/>
  <c r="I14" i="4"/>
  <c r="B15" i="4"/>
  <c r="B16" i="4"/>
  <c r="B17" i="4"/>
  <c r="B18" i="4"/>
  <c r="B19" i="4"/>
  <c r="B20" i="4"/>
  <c r="B21" i="4"/>
  <c r="B22" i="4"/>
  <c r="B23" i="4"/>
  <c r="B14" i="4"/>
  <c r="Q14" i="4" l="1"/>
  <c r="R14" i="4"/>
  <c r="S14" i="4"/>
  <c r="T14" i="4"/>
  <c r="V14" i="4"/>
  <c r="W14" i="4"/>
  <c r="Q15" i="4"/>
  <c r="R15" i="4"/>
  <c r="S15" i="4"/>
  <c r="T15" i="4"/>
  <c r="V15" i="4"/>
  <c r="W15" i="4"/>
  <c r="P15" i="4"/>
  <c r="P14" i="4"/>
  <c r="AD15" i="4" l="1"/>
  <c r="X15" i="4" l="1"/>
</calcChain>
</file>

<file path=xl/sharedStrings.xml><?xml version="1.0" encoding="utf-8"?>
<sst xmlns="http://schemas.openxmlformats.org/spreadsheetml/2006/main" count="4842" uniqueCount="150">
  <si>
    <t>Site</t>
  </si>
  <si>
    <t>Transect</t>
  </si>
  <si>
    <t>Pavona gigantea</t>
  </si>
  <si>
    <t>Pavona varians</t>
  </si>
  <si>
    <t>Pocillopora effusa</t>
  </si>
  <si>
    <t>Porites lobata</t>
  </si>
  <si>
    <t>Psammocora stellata</t>
  </si>
  <si>
    <t>Ascidian (colonial)</t>
  </si>
  <si>
    <t>Ascidian (solitary)</t>
  </si>
  <si>
    <t>Diadema sp</t>
  </si>
  <si>
    <t>Soft Coral</t>
  </si>
  <si>
    <t>Sponge</t>
  </si>
  <si>
    <t>Gravel</t>
  </si>
  <si>
    <t>Sand</t>
  </si>
  <si>
    <t>Dead coral</t>
  </si>
  <si>
    <t>Rock</t>
  </si>
  <si>
    <t>tag/frame/zspar etc</t>
  </si>
  <si>
    <t>Unknown</t>
  </si>
  <si>
    <t>Caulerpa spp.</t>
  </si>
  <si>
    <t>Galaxaura</t>
  </si>
  <si>
    <t>Jania</t>
  </si>
  <si>
    <t>Padina</t>
  </si>
  <si>
    <t>Pink CCA</t>
  </si>
  <si>
    <t>Red CCA</t>
  </si>
  <si>
    <t>Turf algae</t>
  </si>
  <si>
    <t>White CCA</t>
  </si>
  <si>
    <t>Papagayo1</t>
  </si>
  <si>
    <t>T1</t>
  </si>
  <si>
    <t>T2</t>
  </si>
  <si>
    <t>T3</t>
  </si>
  <si>
    <t>T4</t>
  </si>
  <si>
    <t>T5</t>
  </si>
  <si>
    <t>T6</t>
  </si>
  <si>
    <t>Papagayo2</t>
  </si>
  <si>
    <t>Papagayo3</t>
  </si>
  <si>
    <t>Papagayo4</t>
  </si>
  <si>
    <t>Papagayo5</t>
  </si>
  <si>
    <t>Papagayo6</t>
  </si>
  <si>
    <t>Samara1</t>
  </si>
  <si>
    <t>Samara2</t>
  </si>
  <si>
    <t>Samara3</t>
  </si>
  <si>
    <t>Samara4</t>
  </si>
  <si>
    <t>Pavona gigantea</t>
  </si>
  <si>
    <t>Pavona varians</t>
  </si>
  <si>
    <t>Pocillopora effusa</t>
  </si>
  <si>
    <t>Porites lobata</t>
  </si>
  <si>
    <t>Psammocora stellata</t>
  </si>
  <si>
    <t>Ascidian (colonial)</t>
  </si>
  <si>
    <t>Ascidian (solitary)</t>
  </si>
  <si>
    <t>Diadema sp</t>
  </si>
  <si>
    <t>Soft Coral</t>
  </si>
  <si>
    <t>Sponge</t>
  </si>
  <si>
    <t>Gravel</t>
  </si>
  <si>
    <t>Sand</t>
  </si>
  <si>
    <t>Dead coral</t>
  </si>
  <si>
    <t>Rock</t>
  </si>
  <si>
    <t>tag/frame/zspar etc</t>
  </si>
  <si>
    <t>Unknown</t>
  </si>
  <si>
    <t>Caulerpa spp.</t>
  </si>
  <si>
    <t>Galaxaura</t>
  </si>
  <si>
    <t>Jania</t>
  </si>
  <si>
    <t>Padina</t>
  </si>
  <si>
    <t>Pink CCA</t>
  </si>
  <si>
    <t>Red CCA</t>
  </si>
  <si>
    <t>Turf algae</t>
  </si>
  <si>
    <t>White CCA</t>
  </si>
  <si>
    <t>Papagayo1</t>
  </si>
  <si>
    <t>Papagayo2</t>
  </si>
  <si>
    <t>Papagayo3</t>
  </si>
  <si>
    <t>Papagayo4</t>
  </si>
  <si>
    <t>Papagayo5</t>
  </si>
  <si>
    <t>Papagayo6</t>
  </si>
  <si>
    <t>Samara1</t>
  </si>
  <si>
    <t>Samara2</t>
  </si>
  <si>
    <t>Samara3</t>
  </si>
  <si>
    <t>Samara4</t>
  </si>
  <si>
    <t>CCA</t>
  </si>
  <si>
    <t>Corals</t>
  </si>
  <si>
    <t>Macroalgae</t>
  </si>
  <si>
    <t>Pavona spp.</t>
  </si>
  <si>
    <t>Q75</t>
  </si>
  <si>
    <t>Q25</t>
  </si>
  <si>
    <t>Median</t>
  </si>
  <si>
    <t>SD</t>
  </si>
  <si>
    <t>Mean</t>
  </si>
  <si>
    <t>Statistic</t>
  </si>
  <si>
    <t>Substrate</t>
  </si>
  <si>
    <t>Sea grass</t>
  </si>
  <si>
    <t>Filter feeders</t>
  </si>
  <si>
    <t>Unknown Turf</t>
  </si>
  <si>
    <t>name</t>
  </si>
  <si>
    <t>lat</t>
  </si>
  <si>
    <t>lon</t>
  </si>
  <si>
    <t>Deep</t>
  </si>
  <si>
    <t>Samara-1</t>
  </si>
  <si>
    <t>Samara-2</t>
  </si>
  <si>
    <t>Samara-3</t>
  </si>
  <si>
    <t>Samara-4</t>
  </si>
  <si>
    <t>Papagayo-1</t>
  </si>
  <si>
    <t>Papagayo-2</t>
  </si>
  <si>
    <t>Papagayo-3</t>
  </si>
  <si>
    <t>Papagayo-4</t>
  </si>
  <si>
    <t>Papagayo-5</t>
  </si>
  <si>
    <t>Papagayo-6</t>
  </si>
  <si>
    <t>Papagayo (UW)</t>
  </si>
  <si>
    <t>Samara (NUW)</t>
  </si>
  <si>
    <t>Samara1 (5m)</t>
  </si>
  <si>
    <t>Samara2 (5m)</t>
  </si>
  <si>
    <t>Samara3 (5m)</t>
  </si>
  <si>
    <t>Papagayo4 (5m)</t>
  </si>
  <si>
    <t>Papagayo6 (5m)</t>
  </si>
  <si>
    <t>Papagayo1 (10m)</t>
  </si>
  <si>
    <t>Papagayo2 (10m)</t>
  </si>
  <si>
    <t>Papagayo3 (10m)</t>
  </si>
  <si>
    <t>Papagayo5 (10m)</t>
  </si>
  <si>
    <t>Samara4 (15m)</t>
  </si>
  <si>
    <t>Test for normal distribution</t>
  </si>
  <si>
    <t>  Shapiro-Wilk test</t>
  </si>
  <si>
    <t>    W</t>
  </si>
  <si>
    <t>    P value</t>
  </si>
  <si>
    <t>    Passed normality test (alpha=0.05)?</t>
  </si>
  <si>
    <t>Yes</t>
  </si>
  <si>
    <t>No</t>
  </si>
  <si>
    <t>    P value summary</t>
  </si>
  <si>
    <t>ns</t>
  </si>
  <si>
    <t>*</t>
  </si>
  <si>
    <t>**</t>
  </si>
  <si>
    <t>  Kolmogorov-Smirnov test</t>
  </si>
  <si>
    <t>    KS distance</t>
  </si>
  <si>
    <t>&gt;0.1000</t>
  </si>
  <si>
    <t>Number of values</t>
  </si>
  <si>
    <t>papagayo</t>
  </si>
  <si>
    <t>samara</t>
  </si>
  <si>
    <t>papagayo species</t>
  </si>
  <si>
    <t>Brown-Forsythe test</t>
  </si>
  <si>
    <t>  F (DFn, DFd)</t>
  </si>
  <si>
    <t>3.607 (10, 55)</t>
  </si>
  <si>
    <t>  P value</t>
  </si>
  <si>
    <t>  P value summary</t>
  </si>
  <si>
    <t>***</t>
  </si>
  <si>
    <t>  Are SDs significantly different (P &lt; 0.05)?</t>
  </si>
  <si>
    <t>Bartlett's test</t>
  </si>
  <si>
    <t>  Bartlett's statistic (corrected)</t>
  </si>
  <si>
    <t>&lt;0.0001</t>
  </si>
  <si>
    <t>****</t>
  </si>
  <si>
    <t>Data summary</t>
  </si>
  <si>
    <t>  Number of treatments (columns)</t>
  </si>
  <si>
    <t>  Number of values (total)</t>
  </si>
  <si>
    <t>samara species</t>
  </si>
  <si>
    <t>1.267 (10, 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</si>
</sst>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sz val="11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1"/>
    <xf numFmtId="0" fontId="3" fillId="3" borderId="0" xfId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2" borderId="0" xfId="0" applyFont="1" applyFill="1"/>
    <xf numFmtId="0" fontId="5" fillId="7" borderId="0" xfId="0" applyFont="1" applyFill="1"/>
    <xf numFmtId="0" fontId="6" fillId="7" borderId="0" xfId="0" applyFont="1" applyFill="1"/>
    <xf numFmtId="0" fontId="6" fillId="2" borderId="0" xfId="0" applyFont="1" applyFill="1"/>
  </cellXfs>
  <cellStyles count="2">
    <cellStyle name="Normal" xfId="0" builtinId="0"/>
    <cellStyle name="Normal 2" xfId="1" xr:uid="{DCC701BD-5271-4DDD-999A-61E1E035BB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0" i="0" baseline="0">
                <a:effectLst/>
              </a:rPr>
              <a:t>Percent Cover of organisms in differents sites</a:t>
            </a:r>
            <a:endParaRPr lang="he-IL" sz="190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Site_Averages_corals_X!$B$13</c:f>
              <c:strCache>
                <c:ptCount val="1"/>
                <c:pt idx="0">
                  <c:v>Pavona spp.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Site_Averages_corals_X!$A$14:$A$23</c:f>
              <c:strCache>
                <c:ptCount val="10"/>
                <c:pt idx="0">
                  <c:v>Papagayo1 (10m)</c:v>
                </c:pt>
                <c:pt idx="1">
                  <c:v>Papagayo2 (10m)</c:v>
                </c:pt>
                <c:pt idx="2">
                  <c:v>Papagayo3 (10m)</c:v>
                </c:pt>
                <c:pt idx="3">
                  <c:v>Papagayo4 (5m)</c:v>
                </c:pt>
                <c:pt idx="4">
                  <c:v>Papagayo5 (10m)</c:v>
                </c:pt>
                <c:pt idx="5">
                  <c:v>Papagayo6 (5m)</c:v>
                </c:pt>
                <c:pt idx="6">
                  <c:v>Samara1 (5m)</c:v>
                </c:pt>
                <c:pt idx="7">
                  <c:v>Samara2 (5m)</c:v>
                </c:pt>
                <c:pt idx="8">
                  <c:v>Samara3 (5m)</c:v>
                </c:pt>
                <c:pt idx="9">
                  <c:v>Samara4 (15m)</c:v>
                </c:pt>
              </c:strCache>
            </c:strRef>
          </c:cat>
          <c:val>
            <c:numRef>
              <c:f>Site_Averages_corals_X!$B$14:$B$23</c:f>
              <c:numCache>
                <c:formatCode>General</c:formatCode>
                <c:ptCount val="10"/>
                <c:pt idx="0">
                  <c:v>0</c:v>
                </c:pt>
                <c:pt idx="1">
                  <c:v>6.8</c:v>
                </c:pt>
                <c:pt idx="2">
                  <c:v>1.86666666666667</c:v>
                </c:pt>
                <c:pt idx="3">
                  <c:v>0.31111111111111101</c:v>
                </c:pt>
                <c:pt idx="4">
                  <c:v>2.6666666666666701</c:v>
                </c:pt>
                <c:pt idx="5">
                  <c:v>0.8</c:v>
                </c:pt>
                <c:pt idx="6">
                  <c:v>0</c:v>
                </c:pt>
                <c:pt idx="7">
                  <c:v>0</c:v>
                </c:pt>
                <c:pt idx="8">
                  <c:v>0.22222222222222199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2-456E-A465-87F754226AF2}"/>
            </c:ext>
          </c:extLst>
        </c:ser>
        <c:ser>
          <c:idx val="1"/>
          <c:order val="1"/>
          <c:tx>
            <c:strRef>
              <c:f>Site_Averages_corals_X!$C$13</c:f>
              <c:strCache>
                <c:ptCount val="1"/>
                <c:pt idx="0">
                  <c:v>Pocillopora effusa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Site_Averages_corals_X!$A$14:$A$23</c:f>
              <c:strCache>
                <c:ptCount val="10"/>
                <c:pt idx="0">
                  <c:v>Papagayo1 (10m)</c:v>
                </c:pt>
                <c:pt idx="1">
                  <c:v>Papagayo2 (10m)</c:v>
                </c:pt>
                <c:pt idx="2">
                  <c:v>Papagayo3 (10m)</c:v>
                </c:pt>
                <c:pt idx="3">
                  <c:v>Papagayo4 (5m)</c:v>
                </c:pt>
                <c:pt idx="4">
                  <c:v>Papagayo5 (10m)</c:v>
                </c:pt>
                <c:pt idx="5">
                  <c:v>Papagayo6 (5m)</c:v>
                </c:pt>
                <c:pt idx="6">
                  <c:v>Samara1 (5m)</c:v>
                </c:pt>
                <c:pt idx="7">
                  <c:v>Samara2 (5m)</c:v>
                </c:pt>
                <c:pt idx="8">
                  <c:v>Samara3 (5m)</c:v>
                </c:pt>
                <c:pt idx="9">
                  <c:v>Samara4 (15m)</c:v>
                </c:pt>
              </c:strCache>
            </c:strRef>
          </c:cat>
          <c:val>
            <c:numRef>
              <c:f>Site_Averages_corals_X!$C$14:$C$23</c:f>
              <c:numCache>
                <c:formatCode>General</c:formatCode>
                <c:ptCount val="10"/>
                <c:pt idx="0">
                  <c:v>10.755555555555601</c:v>
                </c:pt>
                <c:pt idx="1">
                  <c:v>4.9777777777777796</c:v>
                </c:pt>
                <c:pt idx="2">
                  <c:v>12.311111111111099</c:v>
                </c:pt>
                <c:pt idx="3">
                  <c:v>16.711111111111101</c:v>
                </c:pt>
                <c:pt idx="4">
                  <c:v>5.8222222222222202</c:v>
                </c:pt>
                <c:pt idx="5">
                  <c:v>13.5111111111111</c:v>
                </c:pt>
                <c:pt idx="6">
                  <c:v>0.66666666666666696</c:v>
                </c:pt>
                <c:pt idx="7">
                  <c:v>0.133333333333333</c:v>
                </c:pt>
                <c:pt idx="8">
                  <c:v>2.9777777777777801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2-456E-A465-87F754226AF2}"/>
            </c:ext>
          </c:extLst>
        </c:ser>
        <c:ser>
          <c:idx val="2"/>
          <c:order val="2"/>
          <c:tx>
            <c:strRef>
              <c:f>Site_Averages_corals_X!$D$13</c:f>
              <c:strCache>
                <c:ptCount val="1"/>
                <c:pt idx="0">
                  <c:v>Porites lobata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Site_Averages_corals_X!$A$14:$A$23</c:f>
              <c:strCache>
                <c:ptCount val="10"/>
                <c:pt idx="0">
                  <c:v>Papagayo1 (10m)</c:v>
                </c:pt>
                <c:pt idx="1">
                  <c:v>Papagayo2 (10m)</c:v>
                </c:pt>
                <c:pt idx="2">
                  <c:v>Papagayo3 (10m)</c:v>
                </c:pt>
                <c:pt idx="3">
                  <c:v>Papagayo4 (5m)</c:v>
                </c:pt>
                <c:pt idx="4">
                  <c:v>Papagayo5 (10m)</c:v>
                </c:pt>
                <c:pt idx="5">
                  <c:v>Papagayo6 (5m)</c:v>
                </c:pt>
                <c:pt idx="6">
                  <c:v>Samara1 (5m)</c:v>
                </c:pt>
                <c:pt idx="7">
                  <c:v>Samara2 (5m)</c:v>
                </c:pt>
                <c:pt idx="8">
                  <c:v>Samara3 (5m)</c:v>
                </c:pt>
                <c:pt idx="9">
                  <c:v>Samara4 (15m)</c:v>
                </c:pt>
              </c:strCache>
            </c:strRef>
          </c:cat>
          <c:val>
            <c:numRef>
              <c:f>Site_Averages_corals_X!$D$14:$D$23</c:f>
              <c:numCache>
                <c:formatCode>General</c:formatCode>
                <c:ptCount val="10"/>
                <c:pt idx="0">
                  <c:v>0.133333333333333</c:v>
                </c:pt>
                <c:pt idx="1">
                  <c:v>2.5777777777777802</c:v>
                </c:pt>
                <c:pt idx="2">
                  <c:v>1.24444444444444</c:v>
                </c:pt>
                <c:pt idx="3">
                  <c:v>2.4888888888888898</c:v>
                </c:pt>
                <c:pt idx="4">
                  <c:v>0.44444444444444497</c:v>
                </c:pt>
                <c:pt idx="5">
                  <c:v>0.48888888888888898</c:v>
                </c:pt>
                <c:pt idx="6">
                  <c:v>8.8888888888888906E-2</c:v>
                </c:pt>
                <c:pt idx="7">
                  <c:v>20.399999999999999</c:v>
                </c:pt>
                <c:pt idx="8">
                  <c:v>2.2666666666666702</c:v>
                </c:pt>
                <c:pt idx="9">
                  <c:v>1.56666666666667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42-456E-A465-87F754226AF2}"/>
            </c:ext>
          </c:extLst>
        </c:ser>
        <c:ser>
          <c:idx val="3"/>
          <c:order val="3"/>
          <c:tx>
            <c:strRef>
              <c:f>Site_Averages_corals_X!$E$13</c:f>
              <c:strCache>
                <c:ptCount val="1"/>
                <c:pt idx="0">
                  <c:v>Psammocora stellata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Site_Averages_corals_X!$A$14:$A$23</c:f>
              <c:strCache>
                <c:ptCount val="10"/>
                <c:pt idx="0">
                  <c:v>Papagayo1 (10m)</c:v>
                </c:pt>
                <c:pt idx="1">
                  <c:v>Papagayo2 (10m)</c:v>
                </c:pt>
                <c:pt idx="2">
                  <c:v>Papagayo3 (10m)</c:v>
                </c:pt>
                <c:pt idx="3">
                  <c:v>Papagayo4 (5m)</c:v>
                </c:pt>
                <c:pt idx="4">
                  <c:v>Papagayo5 (10m)</c:v>
                </c:pt>
                <c:pt idx="5">
                  <c:v>Papagayo6 (5m)</c:v>
                </c:pt>
                <c:pt idx="6">
                  <c:v>Samara1 (5m)</c:v>
                </c:pt>
                <c:pt idx="7">
                  <c:v>Samara2 (5m)</c:v>
                </c:pt>
                <c:pt idx="8">
                  <c:v>Samara3 (5m)</c:v>
                </c:pt>
                <c:pt idx="9">
                  <c:v>Samara4 (15m)</c:v>
                </c:pt>
              </c:strCache>
            </c:strRef>
          </c:cat>
          <c:val>
            <c:numRef>
              <c:f>Site_Averages_corals_X!$E$14:$E$23</c:f>
              <c:numCache>
                <c:formatCode>General</c:formatCode>
                <c:ptCount val="10"/>
                <c:pt idx="0">
                  <c:v>0</c:v>
                </c:pt>
                <c:pt idx="1">
                  <c:v>0.4</c:v>
                </c:pt>
                <c:pt idx="2">
                  <c:v>0.17777777777777801</c:v>
                </c:pt>
                <c:pt idx="3">
                  <c:v>0.17777777777777801</c:v>
                </c:pt>
                <c:pt idx="4">
                  <c:v>0</c:v>
                </c:pt>
                <c:pt idx="5">
                  <c:v>0</c:v>
                </c:pt>
                <c:pt idx="6">
                  <c:v>0.66666666666666696</c:v>
                </c:pt>
                <c:pt idx="7">
                  <c:v>0</c:v>
                </c:pt>
                <c:pt idx="8">
                  <c:v>2.31111111111111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42-456E-A465-87F754226AF2}"/>
            </c:ext>
          </c:extLst>
        </c:ser>
        <c:ser>
          <c:idx val="4"/>
          <c:order val="4"/>
          <c:tx>
            <c:strRef>
              <c:f>Site_Averages_corals_X!$F$13</c:f>
              <c:strCache>
                <c:ptCount val="1"/>
                <c:pt idx="0">
                  <c:v>Substrate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Site_Averages_corals_X!$A$14:$A$23</c:f>
              <c:strCache>
                <c:ptCount val="10"/>
                <c:pt idx="0">
                  <c:v>Papagayo1 (10m)</c:v>
                </c:pt>
                <c:pt idx="1">
                  <c:v>Papagayo2 (10m)</c:v>
                </c:pt>
                <c:pt idx="2">
                  <c:v>Papagayo3 (10m)</c:v>
                </c:pt>
                <c:pt idx="3">
                  <c:v>Papagayo4 (5m)</c:v>
                </c:pt>
                <c:pt idx="4">
                  <c:v>Papagayo5 (10m)</c:v>
                </c:pt>
                <c:pt idx="5">
                  <c:v>Papagayo6 (5m)</c:v>
                </c:pt>
                <c:pt idx="6">
                  <c:v>Samara1 (5m)</c:v>
                </c:pt>
                <c:pt idx="7">
                  <c:v>Samara2 (5m)</c:v>
                </c:pt>
                <c:pt idx="8">
                  <c:v>Samara3 (5m)</c:v>
                </c:pt>
                <c:pt idx="9">
                  <c:v>Samara4 (15m)</c:v>
                </c:pt>
              </c:strCache>
            </c:strRef>
          </c:cat>
          <c:val>
            <c:numRef>
              <c:f>Site_Averages_corals_X!$F$14:$F$23</c:f>
              <c:numCache>
                <c:formatCode>General</c:formatCode>
                <c:ptCount val="10"/>
                <c:pt idx="0">
                  <c:v>1.1111111111111112</c:v>
                </c:pt>
                <c:pt idx="1">
                  <c:v>5.3777777777777827</c:v>
                </c:pt>
                <c:pt idx="2">
                  <c:v>1.9999999999999978</c:v>
                </c:pt>
                <c:pt idx="3">
                  <c:v>0.84444444444444455</c:v>
                </c:pt>
                <c:pt idx="4">
                  <c:v>1.155555555555555</c:v>
                </c:pt>
                <c:pt idx="5">
                  <c:v>2.088888888888889</c:v>
                </c:pt>
                <c:pt idx="6">
                  <c:v>2.7111111111111157</c:v>
                </c:pt>
                <c:pt idx="7">
                  <c:v>8.5777777777777775</c:v>
                </c:pt>
                <c:pt idx="8">
                  <c:v>1.4666666666666668</c:v>
                </c:pt>
                <c:pt idx="9">
                  <c:v>2.2166666666666699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42-456E-A465-87F754226AF2}"/>
            </c:ext>
          </c:extLst>
        </c:ser>
        <c:ser>
          <c:idx val="5"/>
          <c:order val="5"/>
          <c:tx>
            <c:strRef>
              <c:f>Site_Averages_corals_X!$G$13</c:f>
              <c:strCache>
                <c:ptCount val="1"/>
                <c:pt idx="0">
                  <c:v>Sea grass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Site_Averages_corals_X!$A$14:$A$23</c:f>
              <c:strCache>
                <c:ptCount val="10"/>
                <c:pt idx="0">
                  <c:v>Papagayo1 (10m)</c:v>
                </c:pt>
                <c:pt idx="1">
                  <c:v>Papagayo2 (10m)</c:v>
                </c:pt>
                <c:pt idx="2">
                  <c:v>Papagayo3 (10m)</c:v>
                </c:pt>
                <c:pt idx="3">
                  <c:v>Papagayo4 (5m)</c:v>
                </c:pt>
                <c:pt idx="4">
                  <c:v>Papagayo5 (10m)</c:v>
                </c:pt>
                <c:pt idx="5">
                  <c:v>Papagayo6 (5m)</c:v>
                </c:pt>
                <c:pt idx="6">
                  <c:v>Samara1 (5m)</c:v>
                </c:pt>
                <c:pt idx="7">
                  <c:v>Samara2 (5m)</c:v>
                </c:pt>
                <c:pt idx="8">
                  <c:v>Samara3 (5m)</c:v>
                </c:pt>
                <c:pt idx="9">
                  <c:v>Samara4 (15m)</c:v>
                </c:pt>
              </c:strCache>
            </c:strRef>
          </c:cat>
          <c:val>
            <c:numRef>
              <c:f>Site_Averages_corals_X!$G$14:$G$23</c:f>
              <c:numCache>
                <c:formatCode>General</c:formatCode>
                <c:ptCount val="10"/>
                <c:pt idx="0">
                  <c:v>0</c:v>
                </c:pt>
                <c:pt idx="1">
                  <c:v>8.8888888888888906E-2</c:v>
                </c:pt>
                <c:pt idx="2">
                  <c:v>2.3555555555555601</c:v>
                </c:pt>
                <c:pt idx="3">
                  <c:v>0.133333333333333</c:v>
                </c:pt>
                <c:pt idx="4">
                  <c:v>4.4444444444444502E-2</c:v>
                </c:pt>
                <c:pt idx="5">
                  <c:v>2.6666666666666701</c:v>
                </c:pt>
                <c:pt idx="6">
                  <c:v>5.2888888888888896</c:v>
                </c:pt>
                <c:pt idx="7">
                  <c:v>0</c:v>
                </c:pt>
                <c:pt idx="8">
                  <c:v>2.75555555555556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42-456E-A465-87F754226AF2}"/>
            </c:ext>
          </c:extLst>
        </c:ser>
        <c:ser>
          <c:idx val="6"/>
          <c:order val="6"/>
          <c:tx>
            <c:strRef>
              <c:f>Site_Averages_corals_X!$H$13</c:f>
              <c:strCache>
                <c:ptCount val="1"/>
                <c:pt idx="0">
                  <c:v>Macroalgae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Site_Averages_corals_X!$A$14:$A$23</c:f>
              <c:strCache>
                <c:ptCount val="10"/>
                <c:pt idx="0">
                  <c:v>Papagayo1 (10m)</c:v>
                </c:pt>
                <c:pt idx="1">
                  <c:v>Papagayo2 (10m)</c:v>
                </c:pt>
                <c:pt idx="2">
                  <c:v>Papagayo3 (10m)</c:v>
                </c:pt>
                <c:pt idx="3">
                  <c:v>Papagayo4 (5m)</c:v>
                </c:pt>
                <c:pt idx="4">
                  <c:v>Papagayo5 (10m)</c:v>
                </c:pt>
                <c:pt idx="5">
                  <c:v>Papagayo6 (5m)</c:v>
                </c:pt>
                <c:pt idx="6">
                  <c:v>Samara1 (5m)</c:v>
                </c:pt>
                <c:pt idx="7">
                  <c:v>Samara2 (5m)</c:v>
                </c:pt>
                <c:pt idx="8">
                  <c:v>Samara3 (5m)</c:v>
                </c:pt>
                <c:pt idx="9">
                  <c:v>Samara4 (15m)</c:v>
                </c:pt>
              </c:strCache>
            </c:strRef>
          </c:cat>
          <c:val>
            <c:numRef>
              <c:f>Site_Averages_corals_X!$H$14:$H$23</c:f>
              <c:numCache>
                <c:formatCode>General</c:formatCode>
                <c:ptCount val="10"/>
                <c:pt idx="0">
                  <c:v>37.866666666666653</c:v>
                </c:pt>
                <c:pt idx="1">
                  <c:v>55.5555555555556</c:v>
                </c:pt>
                <c:pt idx="2">
                  <c:v>48.577777777777754</c:v>
                </c:pt>
                <c:pt idx="3">
                  <c:v>60.577777777777797</c:v>
                </c:pt>
                <c:pt idx="4">
                  <c:v>64.177777777777806</c:v>
                </c:pt>
                <c:pt idx="5">
                  <c:v>61.066666666666684</c:v>
                </c:pt>
                <c:pt idx="6">
                  <c:v>78.266666666666666</c:v>
                </c:pt>
                <c:pt idx="7">
                  <c:v>64.755555555555532</c:v>
                </c:pt>
                <c:pt idx="8">
                  <c:v>82.577777777777797</c:v>
                </c:pt>
                <c:pt idx="9">
                  <c:v>76.1666666666667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42-456E-A465-87F754226AF2}"/>
            </c:ext>
          </c:extLst>
        </c:ser>
        <c:ser>
          <c:idx val="7"/>
          <c:order val="7"/>
          <c:tx>
            <c:strRef>
              <c:f>Site_Averages_corals_X!$I$13</c:f>
              <c:strCache>
                <c:ptCount val="1"/>
                <c:pt idx="0">
                  <c:v>CCA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Site_Averages_corals_X!$A$14:$A$23</c:f>
              <c:strCache>
                <c:ptCount val="10"/>
                <c:pt idx="0">
                  <c:v>Papagayo1 (10m)</c:v>
                </c:pt>
                <c:pt idx="1">
                  <c:v>Papagayo2 (10m)</c:v>
                </c:pt>
                <c:pt idx="2">
                  <c:v>Papagayo3 (10m)</c:v>
                </c:pt>
                <c:pt idx="3">
                  <c:v>Papagayo4 (5m)</c:v>
                </c:pt>
                <c:pt idx="4">
                  <c:v>Papagayo5 (10m)</c:v>
                </c:pt>
                <c:pt idx="5">
                  <c:v>Papagayo6 (5m)</c:v>
                </c:pt>
                <c:pt idx="6">
                  <c:v>Samara1 (5m)</c:v>
                </c:pt>
                <c:pt idx="7">
                  <c:v>Samara2 (5m)</c:v>
                </c:pt>
                <c:pt idx="8">
                  <c:v>Samara3 (5m)</c:v>
                </c:pt>
                <c:pt idx="9">
                  <c:v>Samara4 (15m)</c:v>
                </c:pt>
              </c:strCache>
            </c:strRef>
          </c:cat>
          <c:val>
            <c:numRef>
              <c:f>Site_Averages_corals_X!$I$14:$I$23</c:f>
              <c:numCache>
                <c:formatCode>General</c:formatCode>
                <c:ptCount val="10"/>
                <c:pt idx="0">
                  <c:v>46.444444444444429</c:v>
                </c:pt>
                <c:pt idx="1">
                  <c:v>22.533333333333296</c:v>
                </c:pt>
                <c:pt idx="2">
                  <c:v>27.466666666666679</c:v>
                </c:pt>
                <c:pt idx="3">
                  <c:v>15.822222222222189</c:v>
                </c:pt>
                <c:pt idx="4">
                  <c:v>24.666666666666643</c:v>
                </c:pt>
                <c:pt idx="5">
                  <c:v>18.222222222222193</c:v>
                </c:pt>
                <c:pt idx="6">
                  <c:v>12.177777777777779</c:v>
                </c:pt>
                <c:pt idx="7">
                  <c:v>5.9111111111111159</c:v>
                </c:pt>
                <c:pt idx="8">
                  <c:v>5.2888888888888888</c:v>
                </c:pt>
                <c:pt idx="9">
                  <c:v>13.89166666666666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42-456E-A465-87F754226AF2}"/>
            </c:ext>
          </c:extLst>
        </c:ser>
        <c:ser>
          <c:idx val="8"/>
          <c:order val="8"/>
          <c:tx>
            <c:strRef>
              <c:f>Site_Averages_corals_X!$J$13</c:f>
              <c:strCache>
                <c:ptCount val="1"/>
                <c:pt idx="0">
                  <c:v>Filter feeders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Site_Averages_corals_X!$A$14:$A$23</c:f>
              <c:strCache>
                <c:ptCount val="10"/>
                <c:pt idx="0">
                  <c:v>Papagayo1 (10m)</c:v>
                </c:pt>
                <c:pt idx="1">
                  <c:v>Papagayo2 (10m)</c:v>
                </c:pt>
                <c:pt idx="2">
                  <c:v>Papagayo3 (10m)</c:v>
                </c:pt>
                <c:pt idx="3">
                  <c:v>Papagayo4 (5m)</c:v>
                </c:pt>
                <c:pt idx="4">
                  <c:v>Papagayo5 (10m)</c:v>
                </c:pt>
                <c:pt idx="5">
                  <c:v>Papagayo6 (5m)</c:v>
                </c:pt>
                <c:pt idx="6">
                  <c:v>Samara1 (5m)</c:v>
                </c:pt>
                <c:pt idx="7">
                  <c:v>Samara2 (5m)</c:v>
                </c:pt>
                <c:pt idx="8">
                  <c:v>Samara3 (5m)</c:v>
                </c:pt>
                <c:pt idx="9">
                  <c:v>Samara4 (15m)</c:v>
                </c:pt>
              </c:strCache>
            </c:strRef>
          </c:cat>
          <c:val>
            <c:numRef>
              <c:f>Site_Averages_corals_X!$J$14:$J$23</c:f>
              <c:numCache>
                <c:formatCode>General</c:formatCode>
                <c:ptCount val="10"/>
                <c:pt idx="0">
                  <c:v>0.79999999999999993</c:v>
                </c:pt>
                <c:pt idx="1">
                  <c:v>0.13333333333333341</c:v>
                </c:pt>
                <c:pt idx="2">
                  <c:v>0.2222222222222219</c:v>
                </c:pt>
                <c:pt idx="3">
                  <c:v>4.4444444444444502E-2</c:v>
                </c:pt>
                <c:pt idx="4">
                  <c:v>0.133333333333333</c:v>
                </c:pt>
                <c:pt idx="5">
                  <c:v>0.2222222222222219</c:v>
                </c:pt>
                <c:pt idx="6">
                  <c:v>0</c:v>
                </c:pt>
                <c:pt idx="7">
                  <c:v>4.4444444444444502E-2</c:v>
                </c:pt>
                <c:pt idx="8">
                  <c:v>0</c:v>
                </c:pt>
                <c:pt idx="9">
                  <c:v>0.77500000000000013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2-422E-81FD-988CF3471480}"/>
            </c:ext>
          </c:extLst>
        </c:ser>
        <c:ser>
          <c:idx val="9"/>
          <c:order val="9"/>
          <c:tx>
            <c:strRef>
              <c:f>Site_Averages_corals_X!$K$13</c:f>
              <c:strCache>
                <c:ptCount val="1"/>
                <c:pt idx="0">
                  <c:v>Diadema sp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Site_Averages_corals_X!$A$14:$A$23</c:f>
              <c:strCache>
                <c:ptCount val="10"/>
                <c:pt idx="0">
                  <c:v>Papagayo1 (10m)</c:v>
                </c:pt>
                <c:pt idx="1">
                  <c:v>Papagayo2 (10m)</c:v>
                </c:pt>
                <c:pt idx="2">
                  <c:v>Papagayo3 (10m)</c:v>
                </c:pt>
                <c:pt idx="3">
                  <c:v>Papagayo4 (5m)</c:v>
                </c:pt>
                <c:pt idx="4">
                  <c:v>Papagayo5 (10m)</c:v>
                </c:pt>
                <c:pt idx="5">
                  <c:v>Papagayo6 (5m)</c:v>
                </c:pt>
                <c:pt idx="6">
                  <c:v>Samara1 (5m)</c:v>
                </c:pt>
                <c:pt idx="7">
                  <c:v>Samara2 (5m)</c:v>
                </c:pt>
                <c:pt idx="8">
                  <c:v>Samara3 (5m)</c:v>
                </c:pt>
                <c:pt idx="9">
                  <c:v>Samara4 (15m)</c:v>
                </c:pt>
              </c:strCache>
            </c:strRef>
          </c:cat>
          <c:val>
            <c:numRef>
              <c:f>Site_Averages_corals_X!$K$14:$K$23</c:f>
              <c:numCache>
                <c:formatCode>General</c:formatCode>
                <c:ptCount val="10"/>
                <c:pt idx="0">
                  <c:v>2.6666666666666701</c:v>
                </c:pt>
                <c:pt idx="1">
                  <c:v>1.51111111111111</c:v>
                </c:pt>
                <c:pt idx="2">
                  <c:v>3.7777777777777799</c:v>
                </c:pt>
                <c:pt idx="3">
                  <c:v>2.8888888888888902</c:v>
                </c:pt>
                <c:pt idx="4">
                  <c:v>0.75555555555555598</c:v>
                </c:pt>
                <c:pt idx="5">
                  <c:v>0.844444444444445</c:v>
                </c:pt>
                <c:pt idx="6">
                  <c:v>4.4444444444444502E-2</c:v>
                </c:pt>
                <c:pt idx="7">
                  <c:v>0.17777777777777801</c:v>
                </c:pt>
                <c:pt idx="8">
                  <c:v>4.4444444444444502E-2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E2-422E-81FD-988CF3471480}"/>
            </c:ext>
          </c:extLst>
        </c:ser>
        <c:ser>
          <c:idx val="10"/>
          <c:order val="10"/>
          <c:tx>
            <c:strRef>
              <c:f>Site_Averages_corals_X!$L$13</c:f>
              <c:strCache>
                <c:ptCount val="1"/>
                <c:pt idx="0">
                  <c:v>Soft Coral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Site_Averages_corals_X!$A$14:$A$23</c:f>
              <c:strCache>
                <c:ptCount val="10"/>
                <c:pt idx="0">
                  <c:v>Papagayo1 (10m)</c:v>
                </c:pt>
                <c:pt idx="1">
                  <c:v>Papagayo2 (10m)</c:v>
                </c:pt>
                <c:pt idx="2">
                  <c:v>Papagayo3 (10m)</c:v>
                </c:pt>
                <c:pt idx="3">
                  <c:v>Papagayo4 (5m)</c:v>
                </c:pt>
                <c:pt idx="4">
                  <c:v>Papagayo5 (10m)</c:v>
                </c:pt>
                <c:pt idx="5">
                  <c:v>Papagayo6 (5m)</c:v>
                </c:pt>
                <c:pt idx="6">
                  <c:v>Samara1 (5m)</c:v>
                </c:pt>
                <c:pt idx="7">
                  <c:v>Samara2 (5m)</c:v>
                </c:pt>
                <c:pt idx="8">
                  <c:v>Samara3 (5m)</c:v>
                </c:pt>
                <c:pt idx="9">
                  <c:v>Samara4 (15m)</c:v>
                </c:pt>
              </c:strCache>
            </c:strRef>
          </c:cat>
          <c:val>
            <c:numRef>
              <c:f>Site_Averages_corals_X!$L$14:$L$23</c:f>
              <c:numCache>
                <c:formatCode>General</c:formatCode>
                <c:ptCount val="10"/>
                <c:pt idx="0">
                  <c:v>0.22222222222222199</c:v>
                </c:pt>
                <c:pt idx="1">
                  <c:v>4.4444444444444502E-2</c:v>
                </c:pt>
                <c:pt idx="2">
                  <c:v>0</c:v>
                </c:pt>
                <c:pt idx="3">
                  <c:v>0</c:v>
                </c:pt>
                <c:pt idx="4">
                  <c:v>0.133333333333333</c:v>
                </c:pt>
                <c:pt idx="5">
                  <c:v>8.8888888888888906E-2</c:v>
                </c:pt>
                <c:pt idx="6">
                  <c:v>8.8888888888888906E-2</c:v>
                </c:pt>
                <c:pt idx="7">
                  <c:v>0</c:v>
                </c:pt>
                <c:pt idx="8">
                  <c:v>8.8888888888888906E-2</c:v>
                </c:pt>
                <c:pt idx="9">
                  <c:v>5.3833333333333302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E2-422E-81FD-988CF3471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5069695"/>
        <c:axId val="531855919"/>
      </c:barChart>
      <c:catAx>
        <c:axId val="5250696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31855919"/>
        <c:crosses val="autoZero"/>
        <c:auto val="1"/>
        <c:lblAlgn val="ctr"/>
        <c:lblOffset val="100"/>
        <c:noMultiLvlLbl val="0"/>
      </c:catAx>
      <c:valAx>
        <c:axId val="531855919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2506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0213170363728978E-2"/>
          <c:y val="0.84072389548645832"/>
          <c:w val="0.94395089772450236"/>
          <c:h val="0.143957905105563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Percent Cover of organisms in Samara and Papagayo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Site_Averages_corals_X!$P$13</c:f>
              <c:strCache>
                <c:ptCount val="1"/>
                <c:pt idx="0">
                  <c:v>Pavona spp.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Site_Averages_corals_X!$O$14:$O$15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Site_Averages_corals_X!$P$14:$P$15</c:f>
              <c:numCache>
                <c:formatCode>General</c:formatCode>
                <c:ptCount val="2"/>
                <c:pt idx="0">
                  <c:v>2.0740740740740753</c:v>
                </c:pt>
                <c:pt idx="1">
                  <c:v>5.5555555555555497E-2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9-4606-A0AD-BBFCFA040B1D}"/>
            </c:ext>
          </c:extLst>
        </c:ser>
        <c:ser>
          <c:idx val="1"/>
          <c:order val="1"/>
          <c:tx>
            <c:strRef>
              <c:f>Site_Averages_corals_X!$Q$13</c:f>
              <c:strCache>
                <c:ptCount val="1"/>
                <c:pt idx="0">
                  <c:v>Pocillopora effusa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Site_Averages_corals_X!$O$14:$O$15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Site_Averages_corals_X!$Q$14:$Q$15</c:f>
              <c:numCache>
                <c:formatCode>General</c:formatCode>
                <c:ptCount val="2"/>
                <c:pt idx="0">
                  <c:v>10.681481481481484</c:v>
                </c:pt>
                <c:pt idx="1">
                  <c:v>0.94444444444444497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9-4606-A0AD-BBFCFA040B1D}"/>
            </c:ext>
          </c:extLst>
        </c:ser>
        <c:ser>
          <c:idx val="2"/>
          <c:order val="2"/>
          <c:tx>
            <c:strRef>
              <c:f>Site_Averages_corals_X!$R$13</c:f>
              <c:strCache>
                <c:ptCount val="1"/>
                <c:pt idx="0">
                  <c:v>Porites lobata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Site_Averages_corals_X!$O$14:$O$15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Site_Averages_corals_X!$R$14:$R$15</c:f>
              <c:numCache>
                <c:formatCode>General</c:formatCode>
                <c:ptCount val="2"/>
                <c:pt idx="0">
                  <c:v>1.2296296296296294</c:v>
                </c:pt>
                <c:pt idx="1">
                  <c:v>6.0805555555555566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79-4606-A0AD-BBFCFA040B1D}"/>
            </c:ext>
          </c:extLst>
        </c:ser>
        <c:ser>
          <c:idx val="3"/>
          <c:order val="3"/>
          <c:tx>
            <c:strRef>
              <c:f>Site_Averages_corals_X!$S$13</c:f>
              <c:strCache>
                <c:ptCount val="1"/>
                <c:pt idx="0">
                  <c:v>Psammocora stellata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Site_Averages_corals_X!$O$14:$O$15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Site_Averages_corals_X!$S$14:$S$15</c:f>
              <c:numCache>
                <c:formatCode>General</c:formatCode>
                <c:ptCount val="2"/>
                <c:pt idx="0">
                  <c:v>0.12592592592592602</c:v>
                </c:pt>
                <c:pt idx="1">
                  <c:v>0.74444444444444424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79-4606-A0AD-BBFCFA040B1D}"/>
            </c:ext>
          </c:extLst>
        </c:ser>
        <c:ser>
          <c:idx val="4"/>
          <c:order val="4"/>
          <c:tx>
            <c:strRef>
              <c:f>Site_Averages_corals_X!$T$13</c:f>
              <c:strCache>
                <c:ptCount val="1"/>
                <c:pt idx="0">
                  <c:v>Substrate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Site_Averages_corals_X!$O$14:$O$15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Site_Averages_corals_X!$T$14:$T$15</c:f>
              <c:numCache>
                <c:formatCode>General</c:formatCode>
                <c:ptCount val="2"/>
                <c:pt idx="0">
                  <c:v>2.096296296296297</c:v>
                </c:pt>
                <c:pt idx="1">
                  <c:v>3.7430555555555576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79-4606-A0AD-BBFCFA040B1D}"/>
            </c:ext>
          </c:extLst>
        </c:ser>
        <c:ser>
          <c:idx val="5"/>
          <c:order val="5"/>
          <c:tx>
            <c:strRef>
              <c:f>Site_Averages_corals_X!$U$13</c:f>
              <c:strCache>
                <c:ptCount val="1"/>
                <c:pt idx="0">
                  <c:v>Sea grass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Site_Averages_corals_X!$O$14:$O$15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Site_Averages_corals_X!$U$14:$U$15</c:f>
              <c:numCache>
                <c:formatCode>General</c:formatCode>
                <c:ptCount val="2"/>
                <c:pt idx="0">
                  <c:v>0.88148148148148275</c:v>
                </c:pt>
                <c:pt idx="1">
                  <c:v>2.0111111111111124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79-4606-A0AD-BBFCFA040B1D}"/>
            </c:ext>
          </c:extLst>
        </c:ser>
        <c:ser>
          <c:idx val="6"/>
          <c:order val="6"/>
          <c:tx>
            <c:strRef>
              <c:f>Site_Averages_corals_X!$V$13</c:f>
              <c:strCache>
                <c:ptCount val="1"/>
                <c:pt idx="0">
                  <c:v>Macroalgae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Site_Averages_corals_X!$O$14:$O$15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Site_Averages_corals_X!$V$14:$V$15</c:f>
              <c:numCache>
                <c:formatCode>General</c:formatCode>
                <c:ptCount val="2"/>
                <c:pt idx="0">
                  <c:v>54.63703703703704</c:v>
                </c:pt>
                <c:pt idx="1">
                  <c:v>75.441666666666663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79-4606-A0AD-BBFCFA040B1D}"/>
            </c:ext>
          </c:extLst>
        </c:ser>
        <c:ser>
          <c:idx val="7"/>
          <c:order val="7"/>
          <c:tx>
            <c:strRef>
              <c:f>Site_Averages_corals_X!$W$13</c:f>
              <c:strCache>
                <c:ptCount val="1"/>
                <c:pt idx="0">
                  <c:v>CCA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Site_Averages_corals_X!$O$14:$O$15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Site_Averages_corals_X!$W$14:$W$15</c:f>
              <c:numCache>
                <c:formatCode>General</c:formatCode>
                <c:ptCount val="2"/>
                <c:pt idx="0">
                  <c:v>25.859259259259243</c:v>
                </c:pt>
                <c:pt idx="1">
                  <c:v>9.3173611111111114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79-4606-A0AD-BBFCFA040B1D}"/>
            </c:ext>
          </c:extLst>
        </c:ser>
        <c:ser>
          <c:idx val="8"/>
          <c:order val="8"/>
          <c:tx>
            <c:strRef>
              <c:f>Site_Averages_corals_X!$X$13</c:f>
              <c:strCache>
                <c:ptCount val="1"/>
                <c:pt idx="0">
                  <c:v>Filter feeders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Site_Averages_corals_X!$O$14:$O$15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Site_Averages_corals_X!$X$14:$X$15</c:f>
              <c:numCache>
                <c:formatCode>General</c:formatCode>
                <c:ptCount val="2"/>
                <c:pt idx="0">
                  <c:v>0.25925925925925913</c:v>
                </c:pt>
                <c:pt idx="1">
                  <c:v>0.20486111111111116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559-49DE-9205-B62AA2E263F2}"/>
            </c:ext>
          </c:extLst>
        </c:ser>
        <c:ser>
          <c:idx val="9"/>
          <c:order val="9"/>
          <c:tx>
            <c:strRef>
              <c:f>Site_Averages_corals_X!$Y$13</c:f>
              <c:strCache>
                <c:ptCount val="1"/>
                <c:pt idx="0">
                  <c:v>Diadema sp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Site_Averages_corals_X!$O$14:$O$15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Site_Averages_corals_X!$Y$14:$Y$15</c:f>
              <c:numCache>
                <c:formatCode>General</c:formatCode>
                <c:ptCount val="2"/>
                <c:pt idx="0">
                  <c:v>2.0740740740740748</c:v>
                </c:pt>
                <c:pt idx="1">
                  <c:v>6.6666666666666749E-2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559-49DE-9205-B62AA2E263F2}"/>
            </c:ext>
          </c:extLst>
        </c:ser>
        <c:ser>
          <c:idx val="10"/>
          <c:order val="10"/>
          <c:tx>
            <c:strRef>
              <c:f>Site_Averages_corals_X!$Z$13</c:f>
              <c:strCache>
                <c:ptCount val="1"/>
                <c:pt idx="0">
                  <c:v>Soft Coral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Site_Averages_corals_X!$O$14:$O$15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Site_Averages_corals_X!$Z$14:$Z$15</c:f>
              <c:numCache>
                <c:formatCode>General</c:formatCode>
                <c:ptCount val="2"/>
                <c:pt idx="0">
                  <c:v>8.1481481481481391E-2</c:v>
                </c:pt>
                <c:pt idx="1">
                  <c:v>1.3902777777777771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559-49DE-9205-B62AA2E26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2239519"/>
        <c:axId val="653966223"/>
      </c:barChart>
      <c:catAx>
        <c:axId val="65223951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53966223"/>
        <c:crosses val="autoZero"/>
        <c:auto val="1"/>
        <c:lblAlgn val="ctr"/>
        <c:lblOffset val="100"/>
        <c:noMultiLvlLbl val="0"/>
      </c:catAx>
      <c:valAx>
        <c:axId val="653966223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5223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Percent Cover</a:t>
            </a:r>
            <a:r>
              <a:rPr lang="en-US" baseline="0"/>
              <a:t> of 7 functional groups in Samara and Papagayo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Site_Averages_corals_X!$AD$13</c:f>
              <c:strCache>
                <c:ptCount val="1"/>
                <c:pt idx="0">
                  <c:v>Corals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Site_Averages_corals_X!$AC$14:$AC$15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Site_Averages_corals_X!$AD$14:$AD$15</c:f>
              <c:numCache>
                <c:formatCode>General</c:formatCode>
                <c:ptCount val="2"/>
                <c:pt idx="0">
                  <c:v>14.192592592592597</c:v>
                </c:pt>
                <c:pt idx="1">
                  <c:v>9.2152777777777786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8-45A6-AEF5-A68E44BA581B}"/>
            </c:ext>
          </c:extLst>
        </c:ser>
        <c:ser>
          <c:idx val="1"/>
          <c:order val="1"/>
          <c:tx>
            <c:strRef>
              <c:f>Site_Averages_corals_X!$AE$13</c:f>
              <c:strCache>
                <c:ptCount val="1"/>
                <c:pt idx="0">
                  <c:v>Macroalgae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Site_Averages_corals_X!$AC$14:$AC$15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Site_Averages_corals_X!$AE$14:$AE$15</c:f>
              <c:numCache>
                <c:formatCode>General</c:formatCode>
                <c:ptCount val="2"/>
                <c:pt idx="0">
                  <c:v>54.63703703703704</c:v>
                </c:pt>
                <c:pt idx="1">
                  <c:v>75.441666666666663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B8-45A6-AEF5-A68E44BA581B}"/>
            </c:ext>
          </c:extLst>
        </c:ser>
        <c:ser>
          <c:idx val="2"/>
          <c:order val="2"/>
          <c:tx>
            <c:strRef>
              <c:f>Site_Averages_corals_X!$AF$13</c:f>
              <c:strCache>
                <c:ptCount val="1"/>
                <c:pt idx="0">
                  <c:v>CCA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Site_Averages_corals_X!$AC$14:$AC$15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Site_Averages_corals_X!$AF$14:$AF$15</c:f>
              <c:numCache>
                <c:formatCode>General</c:formatCode>
                <c:ptCount val="2"/>
                <c:pt idx="0">
                  <c:v>25.859259259259243</c:v>
                </c:pt>
                <c:pt idx="1">
                  <c:v>9.3173611111111114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B8-45A6-AEF5-A68E44BA581B}"/>
            </c:ext>
          </c:extLst>
        </c:ser>
        <c:ser>
          <c:idx val="3"/>
          <c:order val="3"/>
          <c:tx>
            <c:strRef>
              <c:f>Site_Averages_corals_X!$AG$13</c:f>
              <c:strCache>
                <c:ptCount val="1"/>
                <c:pt idx="0">
                  <c:v>Sea grass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Site_Averages_corals_X!$AC$14:$AC$15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Site_Averages_corals_X!$AG$14:$AG$15</c:f>
              <c:numCache>
                <c:formatCode>General</c:formatCode>
                <c:ptCount val="2"/>
                <c:pt idx="0">
                  <c:v>0.88148148148148275</c:v>
                </c:pt>
                <c:pt idx="1">
                  <c:v>2.0111111111111124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B8-45A6-AEF5-A68E44BA581B}"/>
            </c:ext>
          </c:extLst>
        </c:ser>
        <c:ser>
          <c:idx val="4"/>
          <c:order val="4"/>
          <c:tx>
            <c:strRef>
              <c:f>Site_Averages_corals_X!$AH$13</c:f>
              <c:strCache>
                <c:ptCount val="1"/>
                <c:pt idx="0">
                  <c:v>Substrate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Site_Averages_corals_X!$AC$14:$AC$15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Site_Averages_corals_X!$AH$14:$AH$15</c:f>
              <c:numCache>
                <c:formatCode>General</c:formatCode>
                <c:ptCount val="2"/>
                <c:pt idx="0">
                  <c:v>2.096296296296297</c:v>
                </c:pt>
                <c:pt idx="1">
                  <c:v>3.7430555555555576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B8-45A6-AEF5-A68E44BA581B}"/>
            </c:ext>
          </c:extLst>
        </c:ser>
        <c:ser>
          <c:idx val="5"/>
          <c:order val="5"/>
          <c:tx>
            <c:strRef>
              <c:f>Site_Averages_corals_X!$AI$13</c:f>
              <c:strCache>
                <c:ptCount val="1"/>
                <c:pt idx="0">
                  <c:v>Filter feeders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Site_Averages_corals_X!$AC$14:$AC$15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Site_Averages_corals_X!$AI$14:$AI$15</c:f>
              <c:numCache>
                <c:formatCode>General</c:formatCode>
                <c:ptCount val="2"/>
                <c:pt idx="0">
                  <c:v>0.25925925925925913</c:v>
                </c:pt>
                <c:pt idx="1">
                  <c:v>0.20486111111111116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B8-45A6-AEF5-A68E44BA581B}"/>
            </c:ext>
          </c:extLst>
        </c:ser>
        <c:ser>
          <c:idx val="6"/>
          <c:order val="6"/>
          <c:tx>
            <c:strRef>
              <c:f>Site_Averages_corals_X!$AJ$13</c:f>
              <c:strCache>
                <c:ptCount val="1"/>
                <c:pt idx="0">
                  <c:v>Diadema sp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Site_Averages_corals_X!$AC$14:$AC$15</c:f>
              <c:strCache>
                <c:ptCount val="2"/>
                <c:pt idx="0">
                  <c:v>Papagayo (UW)</c:v>
                </c:pt>
                <c:pt idx="1">
                  <c:v>Samara (NUW)</c:v>
                </c:pt>
              </c:strCache>
            </c:strRef>
          </c:cat>
          <c:val>
            <c:numRef>
              <c:f>Site_Averages_corals_X!$AJ$14:$AJ$15</c:f>
              <c:numCache>
                <c:formatCode>General</c:formatCode>
                <c:ptCount val="2"/>
                <c:pt idx="0">
                  <c:v>2.0740740740740748</c:v>
                </c:pt>
                <c:pt idx="1">
                  <c:v>6.6666666666666749E-2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B8-45A6-AEF5-A68E44BA5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7733135"/>
        <c:axId val="1327875631"/>
      </c:barChart>
      <c:catAx>
        <c:axId val="63773313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327875631"/>
        <c:crosses val="autoZero"/>
        <c:auto val="1"/>
        <c:lblAlgn val="ctr"/>
        <c:lblOffset val="100"/>
        <c:noMultiLvlLbl val="0"/>
      </c:catAx>
      <c:valAx>
        <c:axId val="1327875631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3773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880457</xdr:colOff>
      <xdr:row>25</xdr:row>
      <xdr:rowOff>27709</xdr:rowOff>
    </xdr:from>
    <xdr:to>
      <xdr:col>10</xdr:col>
      <xdr:colOff>828502</xdr:colOff>
      <xdr:row>52</xdr:row>
      <xdr:rowOff>139238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5ABEDF-7C30-4055-8B3C-CB60EB8DE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994410</xdr:colOff>
      <xdr:row>24</xdr:row>
      <xdr:rowOff>0</xdr:rowOff>
    </xdr:from>
    <xdr:to>
      <xdr:col>18</xdr:col>
      <xdr:colOff>967740</xdr:colOff>
      <xdr:row>48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ED836F-794F-4C36-AEA6-DF318C3DA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567690</xdr:colOff>
      <xdr:row>23</xdr:row>
      <xdr:rowOff>95250</xdr:rowOff>
    </xdr:from>
    <xdr:to>
      <xdr:col>28</xdr:col>
      <xdr:colOff>662940</xdr:colOff>
      <xdr:row>48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7DFB1C-FD49-4193-9C7C-B51D4578F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198120</xdr:colOff>
      <xdr:row>51</xdr:row>
      <xdr:rowOff>144780</xdr:rowOff>
    </xdr:from>
    <xdr:to>
      <xdr:col>10</xdr:col>
      <xdr:colOff>38099</xdr:colOff>
      <xdr:row>70</xdr:row>
      <xdr:rowOff>114301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32279C-4CDA-4DF1-831C-2B0AF5ECF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9105900"/>
          <a:ext cx="6416040" cy="32994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B99E9-90F2-46CB-AD24-0F331E07F3B8}" name="Table1" displayName="Table1" ref="AF24:AI34" totalsRowShown="0">
  <autoFilter ref="AF24:AI34" xr:uid="{974EBC80-8D1D-4839-B813-C6BFB3A3D416}"/>
  <tableColumns count="4">
    <tableColumn id="1" xr3:uid="{DDF2F062-6459-4888-91E0-A3D6D9A05DB8}" name="name"/>
    <tableColumn id="2" xr3:uid="{81E3F8DE-0850-4C1B-BF4B-9E7F440568D5}" name="lat"/>
    <tableColumn id="3" xr3:uid="{E8000637-2A25-495C-9C99-4D60AC617FB4}" name="lon"/>
    <tableColumn id="4" xr3:uid="{52701917-F911-4DC8-A773-2D418835457A}" name="Dee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9751-AC4A-4892-B9E9-B1BB61DB9B9E}">
  <dimension ref="A1:Z842"/>
  <sheetViews>
    <sheetView workbookViewId="0">
      <selection activeCell="B2" sqref="B2:B16"/>
    </sheetView>
  </sheetViews>
  <sheetFormatPr defaultColWidth="11.09765625" defaultRowHeight="13.8" x14ac:dyDescent="0.25"/>
  <cols>
    <col min="1" max="16384" width="11.09765625" style="9"/>
  </cols>
  <sheetData>
    <row r="1" spans="1:2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 x14ac:dyDescent="0.25">
      <c r="A2" s="9" t="s">
        <v>26</v>
      </c>
      <c r="B2" s="9" t="s">
        <v>27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4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8</v>
      </c>
      <c r="Y2" s="9">
        <v>88</v>
      </c>
      <c r="Z2" s="9">
        <v>0</v>
      </c>
    </row>
    <row r="3" spans="1:26" x14ac:dyDescent="0.25">
      <c r="A3" s="9" t="s">
        <v>26</v>
      </c>
      <c r="B3" s="9" t="s">
        <v>27</v>
      </c>
      <c r="C3" s="9">
        <v>0</v>
      </c>
      <c r="D3" s="9">
        <v>0</v>
      </c>
      <c r="E3" s="9">
        <v>20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8</v>
      </c>
      <c r="N3" s="9">
        <v>0</v>
      </c>
      <c r="O3" s="9">
        <v>0</v>
      </c>
      <c r="P3" s="9">
        <v>0</v>
      </c>
      <c r="Q3" s="9">
        <v>4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16</v>
      </c>
      <c r="X3" s="9">
        <v>0</v>
      </c>
      <c r="Y3" s="9">
        <v>52</v>
      </c>
      <c r="Z3" s="9">
        <v>0</v>
      </c>
    </row>
    <row r="4" spans="1:26" x14ac:dyDescent="0.25">
      <c r="A4" s="9" t="s">
        <v>26</v>
      </c>
      <c r="B4" s="9" t="s">
        <v>27</v>
      </c>
      <c r="C4" s="9">
        <v>0</v>
      </c>
      <c r="D4" s="9">
        <v>0</v>
      </c>
      <c r="E4" s="9">
        <v>32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4</v>
      </c>
      <c r="O4" s="9">
        <v>0</v>
      </c>
      <c r="P4" s="9">
        <v>0</v>
      </c>
      <c r="Q4" s="9">
        <v>4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4</v>
      </c>
      <c r="X4" s="9">
        <v>8</v>
      </c>
      <c r="Y4" s="9">
        <v>48</v>
      </c>
      <c r="Z4" s="9">
        <v>0</v>
      </c>
    </row>
    <row r="5" spans="1:26" x14ac:dyDescent="0.25">
      <c r="A5" s="9" t="s">
        <v>26</v>
      </c>
      <c r="B5" s="9" t="s">
        <v>27</v>
      </c>
      <c r="C5" s="9">
        <v>0</v>
      </c>
      <c r="D5" s="9">
        <v>0</v>
      </c>
      <c r="E5" s="9">
        <v>12</v>
      </c>
      <c r="F5" s="9">
        <v>0</v>
      </c>
      <c r="G5" s="9">
        <v>0</v>
      </c>
      <c r="H5" s="9">
        <v>0</v>
      </c>
      <c r="I5" s="9">
        <v>0</v>
      </c>
      <c r="J5" s="9">
        <v>4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28</v>
      </c>
      <c r="X5" s="9">
        <v>4</v>
      </c>
      <c r="Y5" s="9">
        <v>52</v>
      </c>
      <c r="Z5" s="9">
        <v>0</v>
      </c>
    </row>
    <row r="6" spans="1:26" x14ac:dyDescent="0.25">
      <c r="A6" s="9" t="s">
        <v>26</v>
      </c>
      <c r="B6" s="9" t="s">
        <v>27</v>
      </c>
      <c r="C6" s="9">
        <v>0</v>
      </c>
      <c r="D6" s="9">
        <v>0</v>
      </c>
      <c r="E6" s="9">
        <v>28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4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20</v>
      </c>
      <c r="X6" s="9">
        <v>8</v>
      </c>
      <c r="Y6" s="9">
        <v>40</v>
      </c>
      <c r="Z6" s="9">
        <v>0</v>
      </c>
    </row>
    <row r="7" spans="1:26" x14ac:dyDescent="0.25">
      <c r="A7" s="9" t="s">
        <v>26</v>
      </c>
      <c r="B7" s="9" t="s">
        <v>27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4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4</v>
      </c>
      <c r="U7" s="9">
        <v>0</v>
      </c>
      <c r="V7" s="9">
        <v>0</v>
      </c>
      <c r="W7" s="9">
        <v>24</v>
      </c>
      <c r="X7" s="9">
        <v>4</v>
      </c>
      <c r="Y7" s="9">
        <v>64</v>
      </c>
      <c r="Z7" s="9">
        <v>0</v>
      </c>
    </row>
    <row r="8" spans="1:26" x14ac:dyDescent="0.25">
      <c r="A8" s="9" t="s">
        <v>26</v>
      </c>
      <c r="B8" s="9" t="s">
        <v>27</v>
      </c>
      <c r="C8" s="9">
        <v>0</v>
      </c>
      <c r="D8" s="9">
        <v>0</v>
      </c>
      <c r="E8" s="9">
        <v>16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24</v>
      </c>
      <c r="X8" s="9">
        <v>0</v>
      </c>
      <c r="Y8" s="9">
        <v>56</v>
      </c>
      <c r="Z8" s="9">
        <v>4</v>
      </c>
    </row>
    <row r="9" spans="1:26" x14ac:dyDescent="0.25">
      <c r="A9" s="9" t="s">
        <v>26</v>
      </c>
      <c r="B9" s="9" t="s">
        <v>27</v>
      </c>
      <c r="C9" s="9">
        <v>0</v>
      </c>
      <c r="D9" s="9">
        <v>0</v>
      </c>
      <c r="E9" s="9">
        <v>20</v>
      </c>
      <c r="F9" s="9">
        <v>0</v>
      </c>
      <c r="G9" s="9">
        <v>0</v>
      </c>
      <c r="H9" s="9">
        <v>0</v>
      </c>
      <c r="I9" s="9">
        <v>0</v>
      </c>
      <c r="J9" s="9">
        <v>4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48</v>
      </c>
      <c r="X9" s="9">
        <v>8</v>
      </c>
      <c r="Y9" s="9">
        <v>16</v>
      </c>
      <c r="Z9" s="9">
        <v>4</v>
      </c>
    </row>
    <row r="10" spans="1:26" x14ac:dyDescent="0.25">
      <c r="A10" s="9" t="s">
        <v>26</v>
      </c>
      <c r="B10" s="9" t="s">
        <v>27</v>
      </c>
      <c r="C10" s="9">
        <v>0</v>
      </c>
      <c r="D10" s="9">
        <v>0</v>
      </c>
      <c r="E10" s="9">
        <v>8</v>
      </c>
      <c r="F10" s="9">
        <v>0</v>
      </c>
      <c r="G10" s="9">
        <v>0</v>
      </c>
      <c r="H10" s="9">
        <v>0</v>
      </c>
      <c r="I10" s="9">
        <v>0</v>
      </c>
      <c r="J10" s="9">
        <v>4</v>
      </c>
      <c r="K10" s="9">
        <v>0</v>
      </c>
      <c r="L10" s="9">
        <v>0</v>
      </c>
      <c r="M10" s="9">
        <v>4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60</v>
      </c>
      <c r="X10" s="9">
        <v>4</v>
      </c>
      <c r="Y10" s="9">
        <v>20</v>
      </c>
      <c r="Z10" s="9">
        <v>0</v>
      </c>
    </row>
    <row r="11" spans="1:26" x14ac:dyDescent="0.25">
      <c r="A11" s="9" t="s">
        <v>26</v>
      </c>
      <c r="B11" s="9" t="s">
        <v>27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32</v>
      </c>
      <c r="M11" s="9">
        <v>0</v>
      </c>
      <c r="N11" s="9">
        <v>0</v>
      </c>
      <c r="O11" s="9">
        <v>0</v>
      </c>
      <c r="P11" s="9">
        <v>4</v>
      </c>
      <c r="Q11" s="9">
        <v>0</v>
      </c>
      <c r="R11" s="9">
        <v>0</v>
      </c>
      <c r="S11" s="9">
        <v>0</v>
      </c>
      <c r="T11" s="9">
        <v>8</v>
      </c>
      <c r="U11" s="9">
        <v>0</v>
      </c>
      <c r="V11" s="9">
        <v>0</v>
      </c>
      <c r="W11" s="9">
        <v>8</v>
      </c>
      <c r="X11" s="9">
        <v>20</v>
      </c>
      <c r="Y11" s="9">
        <v>28</v>
      </c>
      <c r="Z11" s="9">
        <v>0</v>
      </c>
    </row>
    <row r="12" spans="1:26" x14ac:dyDescent="0.25">
      <c r="A12" s="9" t="s">
        <v>26</v>
      </c>
      <c r="B12" s="9" t="s">
        <v>27</v>
      </c>
      <c r="C12" s="9">
        <v>0</v>
      </c>
      <c r="D12" s="9">
        <v>0</v>
      </c>
      <c r="E12" s="9">
        <v>24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4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12</v>
      </c>
      <c r="X12" s="9">
        <v>8</v>
      </c>
      <c r="Y12" s="9">
        <v>48</v>
      </c>
      <c r="Z12" s="9">
        <v>4</v>
      </c>
    </row>
    <row r="13" spans="1:26" x14ac:dyDescent="0.25">
      <c r="A13" s="9" t="s">
        <v>26</v>
      </c>
      <c r="B13" s="9" t="s">
        <v>27</v>
      </c>
      <c r="C13" s="9">
        <v>0</v>
      </c>
      <c r="D13" s="9">
        <v>0</v>
      </c>
      <c r="E13" s="9">
        <v>16</v>
      </c>
      <c r="F13" s="9">
        <v>0</v>
      </c>
      <c r="G13" s="9">
        <v>0</v>
      </c>
      <c r="H13" s="9">
        <v>0</v>
      </c>
      <c r="I13" s="9">
        <v>0</v>
      </c>
      <c r="J13" s="9">
        <v>4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8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44</v>
      </c>
      <c r="X13" s="9">
        <v>8</v>
      </c>
      <c r="Y13" s="9">
        <v>20</v>
      </c>
      <c r="Z13" s="9">
        <v>0</v>
      </c>
    </row>
    <row r="14" spans="1:26" x14ac:dyDescent="0.25">
      <c r="A14" s="9" t="s">
        <v>26</v>
      </c>
      <c r="B14" s="9" t="s">
        <v>27</v>
      </c>
      <c r="C14" s="9">
        <v>0</v>
      </c>
      <c r="D14" s="9">
        <v>0</v>
      </c>
      <c r="E14" s="9">
        <v>16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4</v>
      </c>
      <c r="O14" s="9">
        <v>0</v>
      </c>
      <c r="P14" s="9">
        <v>0</v>
      </c>
      <c r="Q14" s="9">
        <v>8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8</v>
      </c>
      <c r="X14" s="9">
        <v>4</v>
      </c>
      <c r="Y14" s="9">
        <v>60</v>
      </c>
      <c r="Z14" s="9">
        <v>0</v>
      </c>
    </row>
    <row r="15" spans="1:26" x14ac:dyDescent="0.25">
      <c r="A15" s="9" t="s">
        <v>26</v>
      </c>
      <c r="B15" s="9" t="s">
        <v>27</v>
      </c>
      <c r="C15" s="9">
        <v>0</v>
      </c>
      <c r="D15" s="9">
        <v>0</v>
      </c>
      <c r="E15" s="9">
        <v>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12</v>
      </c>
      <c r="N15" s="9">
        <v>0</v>
      </c>
      <c r="O15" s="9">
        <v>0</v>
      </c>
      <c r="P15" s="9">
        <v>0</v>
      </c>
      <c r="Q15" s="9">
        <v>4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48</v>
      </c>
      <c r="X15" s="9">
        <v>0</v>
      </c>
      <c r="Y15" s="9">
        <v>32</v>
      </c>
      <c r="Z15" s="9">
        <v>0</v>
      </c>
    </row>
    <row r="16" spans="1:26" x14ac:dyDescent="0.25">
      <c r="A16" s="9" t="s">
        <v>26</v>
      </c>
      <c r="B16" s="9" t="s">
        <v>27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4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4</v>
      </c>
      <c r="X16" s="9">
        <v>8</v>
      </c>
      <c r="Y16" s="9">
        <v>84</v>
      </c>
      <c r="Z16" s="9">
        <v>0</v>
      </c>
    </row>
    <row r="17" spans="1:26" x14ac:dyDescent="0.25">
      <c r="A17" s="9" t="s">
        <v>26</v>
      </c>
      <c r="B17" s="9" t="s">
        <v>28</v>
      </c>
      <c r="C17" s="9">
        <v>0</v>
      </c>
      <c r="D17" s="9">
        <v>0</v>
      </c>
      <c r="E17" s="9">
        <v>0</v>
      </c>
      <c r="F17" s="9">
        <v>8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8</v>
      </c>
      <c r="X17" s="9">
        <v>0</v>
      </c>
      <c r="Y17" s="9">
        <v>84</v>
      </c>
      <c r="Z17" s="9">
        <v>0</v>
      </c>
    </row>
    <row r="18" spans="1:26" x14ac:dyDescent="0.25">
      <c r="A18" s="9" t="s">
        <v>26</v>
      </c>
      <c r="B18" s="9" t="s">
        <v>28</v>
      </c>
      <c r="C18" s="9">
        <v>0</v>
      </c>
      <c r="D18" s="9">
        <v>0</v>
      </c>
      <c r="E18" s="9">
        <v>24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8</v>
      </c>
      <c r="X18" s="9">
        <v>4</v>
      </c>
      <c r="Y18" s="9">
        <v>60</v>
      </c>
      <c r="Z18" s="9">
        <v>4</v>
      </c>
    </row>
    <row r="19" spans="1:26" x14ac:dyDescent="0.25">
      <c r="A19" s="9" t="s">
        <v>26</v>
      </c>
      <c r="B19" s="9" t="s">
        <v>28</v>
      </c>
      <c r="C19" s="9">
        <v>0</v>
      </c>
      <c r="D19" s="9">
        <v>0</v>
      </c>
      <c r="E19" s="9">
        <v>20</v>
      </c>
      <c r="F19" s="9">
        <v>0</v>
      </c>
      <c r="G19" s="9">
        <v>0</v>
      </c>
      <c r="H19" s="9">
        <v>0</v>
      </c>
      <c r="I19" s="9">
        <v>0</v>
      </c>
      <c r="J19" s="9">
        <v>4</v>
      </c>
      <c r="K19" s="9">
        <v>0</v>
      </c>
      <c r="L19" s="9">
        <v>0</v>
      </c>
      <c r="M19" s="9">
        <v>0</v>
      </c>
      <c r="N19" s="9">
        <v>4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44</v>
      </c>
      <c r="X19" s="9">
        <v>0</v>
      </c>
      <c r="Y19" s="9">
        <v>16</v>
      </c>
      <c r="Z19" s="9">
        <v>12</v>
      </c>
    </row>
    <row r="20" spans="1:26" x14ac:dyDescent="0.25">
      <c r="A20" s="9" t="s">
        <v>26</v>
      </c>
      <c r="B20" s="9" t="s">
        <v>28</v>
      </c>
      <c r="C20" s="9">
        <v>0</v>
      </c>
      <c r="D20" s="9">
        <v>0</v>
      </c>
      <c r="E20" s="9">
        <v>24</v>
      </c>
      <c r="F20" s="9">
        <v>0</v>
      </c>
      <c r="G20" s="9">
        <v>0</v>
      </c>
      <c r="H20" s="9">
        <v>0</v>
      </c>
      <c r="I20" s="9">
        <v>0</v>
      </c>
      <c r="J20" s="9">
        <v>4</v>
      </c>
      <c r="K20" s="9">
        <v>0</v>
      </c>
      <c r="L20" s="9">
        <v>0</v>
      </c>
      <c r="M20" s="9">
        <v>12</v>
      </c>
      <c r="N20" s="9">
        <v>0</v>
      </c>
      <c r="O20" s="9">
        <v>0</v>
      </c>
      <c r="P20" s="9">
        <v>0</v>
      </c>
      <c r="Q20" s="9">
        <v>4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40</v>
      </c>
      <c r="X20" s="9">
        <v>0</v>
      </c>
      <c r="Y20" s="9">
        <v>8</v>
      </c>
      <c r="Z20" s="9">
        <v>8</v>
      </c>
    </row>
    <row r="21" spans="1:26" x14ac:dyDescent="0.25">
      <c r="A21" s="9" t="s">
        <v>26</v>
      </c>
      <c r="B21" s="9" t="s">
        <v>28</v>
      </c>
      <c r="C21" s="9">
        <v>0</v>
      </c>
      <c r="D21" s="9">
        <v>0</v>
      </c>
      <c r="E21" s="9">
        <v>28</v>
      </c>
      <c r="F21" s="9">
        <v>0</v>
      </c>
      <c r="G21" s="9">
        <v>0</v>
      </c>
      <c r="H21" s="9">
        <v>0</v>
      </c>
      <c r="I21" s="9">
        <v>0</v>
      </c>
      <c r="J21" s="9">
        <v>8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40</v>
      </c>
      <c r="X21" s="9">
        <v>0</v>
      </c>
      <c r="Y21" s="9">
        <v>24</v>
      </c>
      <c r="Z21" s="9">
        <v>0</v>
      </c>
    </row>
    <row r="22" spans="1:26" x14ac:dyDescent="0.25">
      <c r="A22" s="9" t="s">
        <v>26</v>
      </c>
      <c r="B22" s="9" t="s">
        <v>28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4</v>
      </c>
      <c r="U22" s="9">
        <v>4</v>
      </c>
      <c r="V22" s="9">
        <v>0</v>
      </c>
      <c r="W22" s="9">
        <v>28</v>
      </c>
      <c r="X22" s="9">
        <v>4</v>
      </c>
      <c r="Y22" s="9">
        <v>60</v>
      </c>
      <c r="Z22" s="9">
        <v>0</v>
      </c>
    </row>
    <row r="23" spans="1:26" x14ac:dyDescent="0.25">
      <c r="A23" s="9" t="s">
        <v>26</v>
      </c>
      <c r="B23" s="9" t="s">
        <v>28</v>
      </c>
      <c r="C23" s="9">
        <v>0</v>
      </c>
      <c r="D23" s="9">
        <v>0</v>
      </c>
      <c r="E23" s="9">
        <v>24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32</v>
      </c>
      <c r="X23" s="9">
        <v>0</v>
      </c>
      <c r="Y23" s="9">
        <v>40</v>
      </c>
      <c r="Z23" s="9">
        <v>4</v>
      </c>
    </row>
    <row r="24" spans="1:26" x14ac:dyDescent="0.25">
      <c r="A24" s="9" t="s">
        <v>26</v>
      </c>
      <c r="B24" s="9" t="s">
        <v>28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4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4</v>
      </c>
      <c r="V24" s="9">
        <v>0</v>
      </c>
      <c r="W24" s="9">
        <v>16</v>
      </c>
      <c r="X24" s="9">
        <v>8</v>
      </c>
      <c r="Y24" s="9">
        <v>68</v>
      </c>
      <c r="Z24" s="9">
        <v>0</v>
      </c>
    </row>
    <row r="25" spans="1:26" x14ac:dyDescent="0.25">
      <c r="A25" s="9" t="s">
        <v>26</v>
      </c>
      <c r="B25" s="9" t="s">
        <v>28</v>
      </c>
      <c r="C25" s="9">
        <v>0</v>
      </c>
      <c r="D25" s="9">
        <v>0</v>
      </c>
      <c r="E25" s="9">
        <v>24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8</v>
      </c>
      <c r="X25" s="9">
        <v>0</v>
      </c>
      <c r="Y25" s="9">
        <v>64</v>
      </c>
      <c r="Z25" s="9">
        <v>4</v>
      </c>
    </row>
    <row r="26" spans="1:26" x14ac:dyDescent="0.25">
      <c r="A26" s="9" t="s">
        <v>26</v>
      </c>
      <c r="B26" s="9" t="s">
        <v>28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4</v>
      </c>
      <c r="M26" s="9">
        <v>0</v>
      </c>
      <c r="N26" s="9">
        <v>0</v>
      </c>
      <c r="O26" s="9">
        <v>0</v>
      </c>
      <c r="P26" s="9">
        <v>4</v>
      </c>
      <c r="Q26" s="9">
        <v>4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44</v>
      </c>
      <c r="X26" s="9">
        <v>28</v>
      </c>
      <c r="Y26" s="9">
        <v>16</v>
      </c>
      <c r="Z26" s="9">
        <v>0</v>
      </c>
    </row>
    <row r="27" spans="1:26" x14ac:dyDescent="0.25">
      <c r="A27" s="9" t="s">
        <v>26</v>
      </c>
      <c r="B27" s="9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8</v>
      </c>
      <c r="M27" s="9">
        <v>0</v>
      </c>
      <c r="N27" s="9">
        <v>0</v>
      </c>
      <c r="O27" s="9">
        <v>0</v>
      </c>
      <c r="P27" s="9">
        <v>0</v>
      </c>
      <c r="Q27" s="9">
        <v>8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12</v>
      </c>
      <c r="X27" s="9">
        <v>24</v>
      </c>
      <c r="Y27" s="9">
        <v>48</v>
      </c>
      <c r="Z27" s="9">
        <v>0</v>
      </c>
    </row>
    <row r="28" spans="1:26" x14ac:dyDescent="0.25">
      <c r="A28" s="9" t="s">
        <v>26</v>
      </c>
      <c r="B28" s="9" t="s">
        <v>28</v>
      </c>
      <c r="C28" s="9">
        <v>0</v>
      </c>
      <c r="D28" s="9">
        <v>0</v>
      </c>
      <c r="E28" s="9">
        <v>44</v>
      </c>
      <c r="F28" s="9">
        <v>0</v>
      </c>
      <c r="G28" s="9">
        <v>0</v>
      </c>
      <c r="H28" s="9">
        <v>0</v>
      </c>
      <c r="I28" s="9">
        <v>0</v>
      </c>
      <c r="J28" s="9">
        <v>8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44</v>
      </c>
      <c r="X28" s="9">
        <v>0</v>
      </c>
      <c r="Y28" s="9">
        <v>0</v>
      </c>
      <c r="Z28" s="9">
        <v>4</v>
      </c>
    </row>
    <row r="29" spans="1:26" x14ac:dyDescent="0.25">
      <c r="A29" s="9" t="s">
        <v>26</v>
      </c>
      <c r="B29" s="9" t="s">
        <v>28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72</v>
      </c>
      <c r="X29" s="9">
        <v>8</v>
      </c>
      <c r="Y29" s="9">
        <v>20</v>
      </c>
      <c r="Z29" s="9">
        <v>0</v>
      </c>
    </row>
    <row r="30" spans="1:26" x14ac:dyDescent="0.25">
      <c r="A30" s="9" t="s">
        <v>26</v>
      </c>
      <c r="B30" s="9" t="s">
        <v>28</v>
      </c>
      <c r="C30" s="9">
        <v>0</v>
      </c>
      <c r="D30" s="9">
        <v>0</v>
      </c>
      <c r="E30" s="9">
        <v>24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4</v>
      </c>
      <c r="M30" s="9">
        <v>4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8</v>
      </c>
      <c r="X30" s="9">
        <v>4</v>
      </c>
      <c r="Y30" s="9">
        <v>52</v>
      </c>
      <c r="Z30" s="9">
        <v>4</v>
      </c>
    </row>
    <row r="31" spans="1:26" x14ac:dyDescent="0.25">
      <c r="A31" s="9" t="s">
        <v>26</v>
      </c>
      <c r="B31" s="9" t="s">
        <v>28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4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72</v>
      </c>
      <c r="X31" s="9">
        <v>8</v>
      </c>
      <c r="Y31" s="9">
        <v>12</v>
      </c>
      <c r="Z31" s="9">
        <v>4</v>
      </c>
    </row>
    <row r="32" spans="1:26" x14ac:dyDescent="0.25">
      <c r="A32" s="9" t="s">
        <v>26</v>
      </c>
      <c r="B32" s="9" t="s">
        <v>29</v>
      </c>
      <c r="C32" s="9">
        <v>0</v>
      </c>
      <c r="D32" s="9">
        <v>0</v>
      </c>
      <c r="E32" s="9">
        <v>32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4</v>
      </c>
      <c r="M32" s="9">
        <v>0</v>
      </c>
      <c r="N32" s="9">
        <v>0</v>
      </c>
      <c r="O32" s="9">
        <v>0</v>
      </c>
      <c r="P32" s="9">
        <v>0</v>
      </c>
      <c r="Q32" s="9">
        <v>4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8</v>
      </c>
      <c r="X32" s="9">
        <v>4</v>
      </c>
      <c r="Y32" s="9">
        <v>40</v>
      </c>
      <c r="Z32" s="9">
        <v>8</v>
      </c>
    </row>
    <row r="33" spans="1:26" x14ac:dyDescent="0.25">
      <c r="A33" s="9" t="s">
        <v>26</v>
      </c>
      <c r="B33" s="9" t="s">
        <v>29</v>
      </c>
      <c r="C33" s="9">
        <v>0</v>
      </c>
      <c r="D33" s="9">
        <v>0</v>
      </c>
      <c r="E33" s="9">
        <v>20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28</v>
      </c>
      <c r="X33" s="9">
        <v>8</v>
      </c>
      <c r="Y33" s="9">
        <v>44</v>
      </c>
      <c r="Z33" s="9">
        <v>0</v>
      </c>
    </row>
    <row r="34" spans="1:26" x14ac:dyDescent="0.25">
      <c r="A34" s="9" t="s">
        <v>26</v>
      </c>
      <c r="B34" s="9" t="s">
        <v>29</v>
      </c>
      <c r="C34" s="9">
        <v>0</v>
      </c>
      <c r="D34" s="9">
        <v>0</v>
      </c>
      <c r="E34" s="9">
        <v>20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4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16</v>
      </c>
      <c r="X34" s="9">
        <v>8</v>
      </c>
      <c r="Y34" s="9">
        <v>52</v>
      </c>
      <c r="Z34" s="9">
        <v>0</v>
      </c>
    </row>
    <row r="35" spans="1:26" x14ac:dyDescent="0.25">
      <c r="A35" s="9" t="s">
        <v>26</v>
      </c>
      <c r="B35" s="9" t="s">
        <v>29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4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28</v>
      </c>
      <c r="X35" s="9">
        <v>0</v>
      </c>
      <c r="Y35" s="9">
        <v>68</v>
      </c>
      <c r="Z35" s="9">
        <v>0</v>
      </c>
    </row>
    <row r="36" spans="1:26" x14ac:dyDescent="0.25">
      <c r="A36" s="9" t="s">
        <v>26</v>
      </c>
      <c r="B36" s="9" t="s">
        <v>29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8</v>
      </c>
      <c r="K36" s="9">
        <v>0</v>
      </c>
      <c r="L36" s="9">
        <v>0</v>
      </c>
      <c r="M36" s="9">
        <v>0</v>
      </c>
      <c r="N36" s="9">
        <v>4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20</v>
      </c>
      <c r="X36" s="9">
        <v>4</v>
      </c>
      <c r="Y36" s="9">
        <v>64</v>
      </c>
      <c r="Z36" s="9">
        <v>0</v>
      </c>
    </row>
    <row r="37" spans="1:26" x14ac:dyDescent="0.25">
      <c r="A37" s="9" t="s">
        <v>26</v>
      </c>
      <c r="B37" s="9" t="s">
        <v>29</v>
      </c>
      <c r="C37" s="9">
        <v>0</v>
      </c>
      <c r="D37" s="9">
        <v>0</v>
      </c>
      <c r="E37" s="9">
        <v>44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4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20</v>
      </c>
      <c r="X37" s="9">
        <v>0</v>
      </c>
      <c r="Y37" s="9">
        <v>32</v>
      </c>
      <c r="Z37" s="9">
        <v>0</v>
      </c>
    </row>
    <row r="38" spans="1:26" x14ac:dyDescent="0.25">
      <c r="A38" s="9" t="s">
        <v>26</v>
      </c>
      <c r="B38" s="9" t="s">
        <v>29</v>
      </c>
      <c r="C38" s="9">
        <v>0</v>
      </c>
      <c r="D38" s="9">
        <v>0</v>
      </c>
      <c r="E38" s="9">
        <v>16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8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36</v>
      </c>
      <c r="X38" s="9">
        <v>0</v>
      </c>
      <c r="Y38" s="9">
        <v>28</v>
      </c>
      <c r="Z38" s="9">
        <v>12</v>
      </c>
    </row>
    <row r="39" spans="1:26" x14ac:dyDescent="0.25">
      <c r="A39" s="9" t="s">
        <v>26</v>
      </c>
      <c r="B39" s="9" t="s">
        <v>29</v>
      </c>
      <c r="C39" s="9">
        <v>0</v>
      </c>
      <c r="D39" s="9">
        <v>0</v>
      </c>
      <c r="E39" s="9">
        <v>32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4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44</v>
      </c>
      <c r="X39" s="9">
        <v>4</v>
      </c>
      <c r="Y39" s="9">
        <v>8</v>
      </c>
      <c r="Z39" s="9">
        <v>8</v>
      </c>
    </row>
    <row r="40" spans="1:26" x14ac:dyDescent="0.25">
      <c r="A40" s="9" t="s">
        <v>26</v>
      </c>
      <c r="B40" s="9" t="s">
        <v>29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4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4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28</v>
      </c>
      <c r="X40" s="9">
        <v>12</v>
      </c>
      <c r="Y40" s="9">
        <v>52</v>
      </c>
      <c r="Z40" s="9">
        <v>0</v>
      </c>
    </row>
    <row r="41" spans="1:26" x14ac:dyDescent="0.25">
      <c r="A41" s="9" t="s">
        <v>26</v>
      </c>
      <c r="B41" s="9" t="s">
        <v>29</v>
      </c>
      <c r="C41" s="9">
        <v>0</v>
      </c>
      <c r="D41" s="9">
        <v>0</v>
      </c>
      <c r="E41" s="9">
        <v>40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4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4</v>
      </c>
      <c r="X41" s="9">
        <v>4</v>
      </c>
      <c r="Y41" s="9">
        <v>40</v>
      </c>
      <c r="Z41" s="9">
        <v>8</v>
      </c>
    </row>
    <row r="42" spans="1:26" x14ac:dyDescent="0.25">
      <c r="A42" s="9" t="s">
        <v>26</v>
      </c>
      <c r="B42" s="9" t="s">
        <v>29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4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80</v>
      </c>
      <c r="X42" s="9">
        <v>4</v>
      </c>
      <c r="Y42" s="9">
        <v>12</v>
      </c>
      <c r="Z42" s="9">
        <v>0</v>
      </c>
    </row>
    <row r="43" spans="1:26" x14ac:dyDescent="0.25">
      <c r="A43" s="9" t="s">
        <v>26</v>
      </c>
      <c r="B43" s="9" t="s">
        <v>29</v>
      </c>
      <c r="C43" s="9">
        <v>0</v>
      </c>
      <c r="D43" s="9">
        <v>0</v>
      </c>
      <c r="E43" s="9">
        <v>24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4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44</v>
      </c>
      <c r="X43" s="9">
        <v>4</v>
      </c>
      <c r="Y43" s="9">
        <v>20</v>
      </c>
      <c r="Z43" s="9">
        <v>4</v>
      </c>
    </row>
    <row r="44" spans="1:26" x14ac:dyDescent="0.25">
      <c r="A44" s="9" t="s">
        <v>26</v>
      </c>
      <c r="B44" s="9" t="s">
        <v>29</v>
      </c>
      <c r="C44" s="9">
        <v>0</v>
      </c>
      <c r="D44" s="9">
        <v>0</v>
      </c>
      <c r="E44" s="9">
        <v>12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36</v>
      </c>
      <c r="X44" s="9">
        <v>0</v>
      </c>
      <c r="Y44" s="9">
        <v>48</v>
      </c>
      <c r="Z44" s="9">
        <v>4</v>
      </c>
    </row>
    <row r="45" spans="1:26" x14ac:dyDescent="0.25">
      <c r="A45" s="9" t="s">
        <v>26</v>
      </c>
      <c r="B45" s="9" t="s">
        <v>29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4</v>
      </c>
      <c r="N45" s="9">
        <v>0</v>
      </c>
      <c r="O45" s="9">
        <v>0</v>
      </c>
      <c r="P45" s="9">
        <v>0</v>
      </c>
      <c r="Q45" s="9">
        <v>4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40</v>
      </c>
      <c r="X45" s="9">
        <v>16</v>
      </c>
      <c r="Y45" s="9">
        <v>36</v>
      </c>
      <c r="Z45" s="9">
        <v>0</v>
      </c>
    </row>
    <row r="46" spans="1:26" x14ac:dyDescent="0.25">
      <c r="A46" s="9" t="s">
        <v>26</v>
      </c>
      <c r="B46" s="9" t="s">
        <v>29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8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8</v>
      </c>
      <c r="X46" s="9">
        <v>0</v>
      </c>
      <c r="Y46" s="9">
        <v>84</v>
      </c>
      <c r="Z46" s="9">
        <v>0</v>
      </c>
    </row>
    <row r="47" spans="1:26" x14ac:dyDescent="0.25">
      <c r="A47" s="9" t="s">
        <v>26</v>
      </c>
      <c r="B47" s="9" t="s">
        <v>30</v>
      </c>
      <c r="C47" s="9">
        <v>0</v>
      </c>
      <c r="D47" s="9">
        <v>0</v>
      </c>
      <c r="E47" s="9">
        <v>28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4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28</v>
      </c>
      <c r="X47" s="9">
        <v>4</v>
      </c>
      <c r="Y47" s="9">
        <v>36</v>
      </c>
      <c r="Z47" s="9">
        <v>0</v>
      </c>
    </row>
    <row r="48" spans="1:26" x14ac:dyDescent="0.25">
      <c r="A48" s="9" t="s">
        <v>26</v>
      </c>
      <c r="B48" s="9" t="s">
        <v>30</v>
      </c>
      <c r="C48" s="9">
        <v>0</v>
      </c>
      <c r="D48" s="9">
        <v>0</v>
      </c>
      <c r="E48" s="9">
        <v>4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4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8</v>
      </c>
      <c r="X48" s="9">
        <v>0</v>
      </c>
      <c r="Y48" s="9">
        <v>80</v>
      </c>
      <c r="Z48" s="9">
        <v>4</v>
      </c>
    </row>
    <row r="49" spans="1:26" x14ac:dyDescent="0.25">
      <c r="A49" s="9" t="s">
        <v>26</v>
      </c>
      <c r="B49" s="9" t="s">
        <v>30</v>
      </c>
      <c r="C49" s="9">
        <v>0</v>
      </c>
      <c r="D49" s="9">
        <v>0</v>
      </c>
      <c r="E49" s="9">
        <v>28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4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24</v>
      </c>
      <c r="X49" s="9">
        <v>0</v>
      </c>
      <c r="Y49" s="9">
        <v>40</v>
      </c>
      <c r="Z49" s="9">
        <v>4</v>
      </c>
    </row>
    <row r="50" spans="1:26" x14ac:dyDescent="0.25">
      <c r="A50" s="9" t="s">
        <v>26</v>
      </c>
      <c r="B50" s="9" t="s">
        <v>30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4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44</v>
      </c>
      <c r="X50" s="9">
        <v>4</v>
      </c>
      <c r="Y50" s="9">
        <v>48</v>
      </c>
      <c r="Z50" s="9">
        <v>0</v>
      </c>
    </row>
    <row r="51" spans="1:26" x14ac:dyDescent="0.25">
      <c r="A51" s="9" t="s">
        <v>26</v>
      </c>
      <c r="B51" s="9" t="s">
        <v>30</v>
      </c>
      <c r="C51" s="9">
        <v>0</v>
      </c>
      <c r="D51" s="9">
        <v>0</v>
      </c>
      <c r="E51" s="9">
        <v>32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40</v>
      </c>
      <c r="X51" s="9">
        <v>8</v>
      </c>
      <c r="Y51" s="9">
        <v>16</v>
      </c>
      <c r="Z51" s="9">
        <v>4</v>
      </c>
    </row>
    <row r="52" spans="1:26" x14ac:dyDescent="0.25">
      <c r="A52" s="9" t="s">
        <v>26</v>
      </c>
      <c r="B52" s="9" t="s">
        <v>30</v>
      </c>
      <c r="C52" s="9">
        <v>0</v>
      </c>
      <c r="D52" s="9">
        <v>0</v>
      </c>
      <c r="E52" s="9">
        <v>4</v>
      </c>
      <c r="F52" s="9">
        <v>0</v>
      </c>
      <c r="G52" s="9">
        <v>0</v>
      </c>
      <c r="H52" s="9">
        <v>0</v>
      </c>
      <c r="I52" s="9">
        <v>0</v>
      </c>
      <c r="J52" s="9">
        <v>8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64</v>
      </c>
      <c r="X52" s="9">
        <v>4</v>
      </c>
      <c r="Y52" s="9">
        <v>12</v>
      </c>
      <c r="Z52" s="9">
        <v>8</v>
      </c>
    </row>
    <row r="53" spans="1:26" x14ac:dyDescent="0.25">
      <c r="A53" s="9" t="s">
        <v>26</v>
      </c>
      <c r="B53" s="9" t="s">
        <v>30</v>
      </c>
      <c r="C53" s="9">
        <v>0</v>
      </c>
      <c r="D53" s="9">
        <v>0</v>
      </c>
      <c r="E53" s="9">
        <v>20</v>
      </c>
      <c r="F53" s="9">
        <v>0</v>
      </c>
      <c r="G53" s="9">
        <v>0</v>
      </c>
      <c r="H53" s="9">
        <v>0</v>
      </c>
      <c r="I53" s="9">
        <v>0</v>
      </c>
      <c r="J53" s="9">
        <v>4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56</v>
      </c>
      <c r="X53" s="9">
        <v>4</v>
      </c>
      <c r="Y53" s="9">
        <v>16</v>
      </c>
      <c r="Z53" s="9">
        <v>0</v>
      </c>
    </row>
    <row r="54" spans="1:26" x14ac:dyDescent="0.25">
      <c r="A54" s="9" t="s">
        <v>26</v>
      </c>
      <c r="B54" s="9" t="s">
        <v>30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8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72</v>
      </c>
      <c r="X54" s="9">
        <v>0</v>
      </c>
      <c r="Y54" s="9">
        <v>20</v>
      </c>
      <c r="Z54" s="9">
        <v>0</v>
      </c>
    </row>
    <row r="55" spans="1:26" x14ac:dyDescent="0.25">
      <c r="A55" s="9" t="s">
        <v>26</v>
      </c>
      <c r="B55" s="9" t="s">
        <v>30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4</v>
      </c>
      <c r="K55" s="9">
        <v>8</v>
      </c>
      <c r="L55" s="9">
        <v>4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28</v>
      </c>
      <c r="X55" s="9">
        <v>4</v>
      </c>
      <c r="Y55" s="9">
        <v>20</v>
      </c>
      <c r="Z55" s="9">
        <v>32</v>
      </c>
    </row>
    <row r="56" spans="1:26" x14ac:dyDescent="0.25">
      <c r="A56" s="9" t="s">
        <v>26</v>
      </c>
      <c r="B56" s="9" t="s">
        <v>30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4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28</v>
      </c>
      <c r="X56" s="9">
        <v>20</v>
      </c>
      <c r="Y56" s="9">
        <v>48</v>
      </c>
      <c r="Z56" s="9">
        <v>0</v>
      </c>
    </row>
    <row r="57" spans="1:26" x14ac:dyDescent="0.25">
      <c r="A57" s="9" t="s">
        <v>26</v>
      </c>
      <c r="B57" s="9" t="s">
        <v>30</v>
      </c>
      <c r="C57" s="9">
        <v>0</v>
      </c>
      <c r="D57" s="9">
        <v>0</v>
      </c>
      <c r="E57" s="9">
        <v>20</v>
      </c>
      <c r="F57" s="9">
        <v>0</v>
      </c>
      <c r="G57" s="9">
        <v>0</v>
      </c>
      <c r="H57" s="9">
        <v>0</v>
      </c>
      <c r="I57" s="9">
        <v>0</v>
      </c>
      <c r="J57" s="9">
        <v>8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20</v>
      </c>
      <c r="X57" s="9">
        <v>0</v>
      </c>
      <c r="Y57" s="9">
        <v>48</v>
      </c>
      <c r="Z57" s="9">
        <v>4</v>
      </c>
    </row>
    <row r="58" spans="1:26" x14ac:dyDescent="0.25">
      <c r="A58" s="9" t="s">
        <v>26</v>
      </c>
      <c r="B58" s="9" t="s">
        <v>30</v>
      </c>
      <c r="C58" s="9">
        <v>0</v>
      </c>
      <c r="D58" s="9">
        <v>0</v>
      </c>
      <c r="E58" s="9">
        <v>28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28</v>
      </c>
      <c r="X58" s="9">
        <v>0</v>
      </c>
      <c r="Y58" s="9">
        <v>44</v>
      </c>
      <c r="Z58" s="9">
        <v>0</v>
      </c>
    </row>
    <row r="59" spans="1:26" x14ac:dyDescent="0.25">
      <c r="A59" s="9" t="s">
        <v>26</v>
      </c>
      <c r="B59" s="9" t="s">
        <v>30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4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36</v>
      </c>
      <c r="X59" s="9">
        <v>4</v>
      </c>
      <c r="Y59" s="9">
        <v>56</v>
      </c>
      <c r="Z59" s="9">
        <v>0</v>
      </c>
    </row>
    <row r="60" spans="1:26" x14ac:dyDescent="0.25">
      <c r="A60" s="9" t="s">
        <v>26</v>
      </c>
      <c r="B60" s="9" t="s">
        <v>30</v>
      </c>
      <c r="C60" s="9">
        <v>0</v>
      </c>
      <c r="D60" s="9">
        <v>0</v>
      </c>
      <c r="E60" s="9">
        <v>16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44</v>
      </c>
      <c r="X60" s="9">
        <v>12</v>
      </c>
      <c r="Y60" s="9">
        <v>28</v>
      </c>
      <c r="Z60" s="9">
        <v>0</v>
      </c>
    </row>
    <row r="61" spans="1:26" x14ac:dyDescent="0.25">
      <c r="A61" s="9" t="s">
        <v>26</v>
      </c>
      <c r="B61" s="9" t="s">
        <v>30</v>
      </c>
      <c r="C61" s="9">
        <v>0</v>
      </c>
      <c r="D61" s="9">
        <v>0</v>
      </c>
      <c r="E61" s="9">
        <v>12</v>
      </c>
      <c r="F61" s="9">
        <v>0</v>
      </c>
      <c r="G61" s="9">
        <v>0</v>
      </c>
      <c r="H61" s="9">
        <v>0</v>
      </c>
      <c r="I61" s="9">
        <v>4</v>
      </c>
      <c r="J61" s="9">
        <v>0</v>
      </c>
      <c r="K61" s="9">
        <v>0</v>
      </c>
      <c r="L61" s="9">
        <v>4</v>
      </c>
      <c r="M61" s="9">
        <v>0</v>
      </c>
      <c r="N61" s="9">
        <v>0</v>
      </c>
      <c r="O61" s="9">
        <v>0</v>
      </c>
      <c r="P61" s="9">
        <v>0</v>
      </c>
      <c r="Q61" s="9">
        <v>4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20</v>
      </c>
      <c r="X61" s="9">
        <v>8</v>
      </c>
      <c r="Y61" s="9">
        <v>48</v>
      </c>
      <c r="Z61" s="9">
        <v>0</v>
      </c>
    </row>
    <row r="62" spans="1:26" x14ac:dyDescent="0.25">
      <c r="A62" s="9" t="s">
        <v>26</v>
      </c>
      <c r="B62" s="9" t="s">
        <v>31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4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40</v>
      </c>
      <c r="X62" s="9">
        <v>4</v>
      </c>
      <c r="Y62" s="9">
        <v>48</v>
      </c>
      <c r="Z62" s="9">
        <v>4</v>
      </c>
    </row>
    <row r="63" spans="1:26" x14ac:dyDescent="0.25">
      <c r="A63" s="9" t="s">
        <v>26</v>
      </c>
      <c r="B63" s="9" t="s">
        <v>31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4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4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48</v>
      </c>
      <c r="X63" s="9">
        <v>0</v>
      </c>
      <c r="Y63" s="9">
        <v>0</v>
      </c>
      <c r="Z63" s="9">
        <v>44</v>
      </c>
    </row>
    <row r="64" spans="1:26" x14ac:dyDescent="0.25">
      <c r="A64" s="9" t="s">
        <v>26</v>
      </c>
      <c r="B64" s="9" t="s">
        <v>31</v>
      </c>
      <c r="C64" s="9">
        <v>0</v>
      </c>
      <c r="D64" s="9">
        <v>0</v>
      </c>
      <c r="E64" s="9">
        <v>0</v>
      </c>
      <c r="F64" s="9">
        <v>4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60</v>
      </c>
      <c r="X64" s="9">
        <v>0</v>
      </c>
      <c r="Y64" s="9">
        <v>8</v>
      </c>
      <c r="Z64" s="9">
        <v>28</v>
      </c>
    </row>
    <row r="65" spans="1:26" x14ac:dyDescent="0.25">
      <c r="A65" s="9" t="s">
        <v>26</v>
      </c>
      <c r="B65" s="9" t="s">
        <v>31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8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36</v>
      </c>
      <c r="X65" s="9">
        <v>0</v>
      </c>
      <c r="Y65" s="9">
        <v>12</v>
      </c>
      <c r="Z65" s="9">
        <v>44</v>
      </c>
    </row>
    <row r="66" spans="1:26" x14ac:dyDescent="0.25">
      <c r="A66" s="9" t="s">
        <v>26</v>
      </c>
      <c r="B66" s="9" t="s">
        <v>31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16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80</v>
      </c>
      <c r="X66" s="9">
        <v>0</v>
      </c>
      <c r="Y66" s="9">
        <v>0</v>
      </c>
      <c r="Z66" s="9">
        <v>4</v>
      </c>
    </row>
    <row r="67" spans="1:26" x14ac:dyDescent="0.25">
      <c r="A67" s="9" t="s">
        <v>26</v>
      </c>
      <c r="B67" s="9" t="s">
        <v>31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12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8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68</v>
      </c>
      <c r="X67" s="9">
        <v>0</v>
      </c>
      <c r="Y67" s="9">
        <v>0</v>
      </c>
      <c r="Z67" s="9">
        <v>12</v>
      </c>
    </row>
    <row r="68" spans="1:26" x14ac:dyDescent="0.25">
      <c r="A68" s="9" t="s">
        <v>26</v>
      </c>
      <c r="B68" s="9" t="s">
        <v>31</v>
      </c>
      <c r="C68" s="9">
        <v>0</v>
      </c>
      <c r="D68" s="9">
        <v>0</v>
      </c>
      <c r="E68" s="9">
        <v>4</v>
      </c>
      <c r="F68" s="9">
        <v>0</v>
      </c>
      <c r="G68" s="9">
        <v>0</v>
      </c>
      <c r="H68" s="9">
        <v>0</v>
      </c>
      <c r="I68" s="9">
        <v>0</v>
      </c>
      <c r="J68" s="9">
        <v>8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48</v>
      </c>
      <c r="X68" s="9">
        <v>0</v>
      </c>
      <c r="Y68" s="9">
        <v>40</v>
      </c>
      <c r="Z68" s="9">
        <v>0</v>
      </c>
    </row>
    <row r="69" spans="1:26" x14ac:dyDescent="0.25">
      <c r="A69" s="9" t="s">
        <v>26</v>
      </c>
      <c r="B69" s="9" t="s">
        <v>31</v>
      </c>
      <c r="C69" s="9">
        <v>0</v>
      </c>
      <c r="D69" s="9">
        <v>0</v>
      </c>
      <c r="E69" s="9">
        <v>28</v>
      </c>
      <c r="F69" s="9">
        <v>0</v>
      </c>
      <c r="G69" s="9">
        <v>0</v>
      </c>
      <c r="H69" s="9">
        <v>0</v>
      </c>
      <c r="I69" s="9">
        <v>0</v>
      </c>
      <c r="J69" s="9">
        <v>4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4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24</v>
      </c>
      <c r="X69" s="9">
        <v>8</v>
      </c>
      <c r="Y69" s="9">
        <v>20</v>
      </c>
      <c r="Z69" s="9">
        <v>12</v>
      </c>
    </row>
    <row r="70" spans="1:26" x14ac:dyDescent="0.25">
      <c r="A70" s="9" t="s">
        <v>26</v>
      </c>
      <c r="B70" s="9" t="s">
        <v>31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4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44</v>
      </c>
      <c r="X70" s="9">
        <v>4</v>
      </c>
      <c r="Y70" s="9">
        <v>48</v>
      </c>
      <c r="Z70" s="9">
        <v>0</v>
      </c>
    </row>
    <row r="71" spans="1:26" x14ac:dyDescent="0.25">
      <c r="A71" s="9" t="s">
        <v>26</v>
      </c>
      <c r="B71" s="9" t="s">
        <v>31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48</v>
      </c>
      <c r="X71" s="9">
        <v>8</v>
      </c>
      <c r="Y71" s="9">
        <v>44</v>
      </c>
      <c r="Z71" s="9">
        <v>0</v>
      </c>
    </row>
    <row r="72" spans="1:26" x14ac:dyDescent="0.25">
      <c r="A72" s="9" t="s">
        <v>26</v>
      </c>
      <c r="B72" s="9" t="s">
        <v>31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8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60</v>
      </c>
      <c r="X72" s="9">
        <v>4</v>
      </c>
      <c r="Y72" s="9">
        <v>16</v>
      </c>
      <c r="Z72" s="9">
        <v>12</v>
      </c>
    </row>
    <row r="73" spans="1:26" x14ac:dyDescent="0.25">
      <c r="A73" s="9" t="s">
        <v>26</v>
      </c>
      <c r="B73" s="9" t="s">
        <v>31</v>
      </c>
      <c r="C73" s="9">
        <v>0</v>
      </c>
      <c r="D73" s="9">
        <v>0</v>
      </c>
      <c r="E73" s="9">
        <v>16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4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48</v>
      </c>
      <c r="X73" s="9">
        <v>4</v>
      </c>
      <c r="Y73" s="9">
        <v>24</v>
      </c>
      <c r="Z73" s="9">
        <v>4</v>
      </c>
    </row>
    <row r="74" spans="1:26" x14ac:dyDescent="0.25">
      <c r="A74" s="9" t="s">
        <v>26</v>
      </c>
      <c r="B74" s="9" t="s">
        <v>31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4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72</v>
      </c>
      <c r="X74" s="9">
        <v>0</v>
      </c>
      <c r="Y74" s="9">
        <v>20</v>
      </c>
      <c r="Z74" s="9">
        <v>4</v>
      </c>
    </row>
    <row r="75" spans="1:26" x14ac:dyDescent="0.25">
      <c r="A75" s="9" t="s">
        <v>26</v>
      </c>
      <c r="B75" s="9" t="s">
        <v>31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4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72</v>
      </c>
      <c r="X75" s="9">
        <v>4</v>
      </c>
      <c r="Y75" s="9">
        <v>8</v>
      </c>
      <c r="Z75" s="9">
        <v>12</v>
      </c>
    </row>
    <row r="76" spans="1:26" x14ac:dyDescent="0.25">
      <c r="A76" s="9" t="s">
        <v>26</v>
      </c>
      <c r="B76" s="9" t="s">
        <v>31</v>
      </c>
      <c r="C76" s="9">
        <v>0</v>
      </c>
      <c r="D76" s="9">
        <v>0</v>
      </c>
      <c r="E76" s="9">
        <v>24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56</v>
      </c>
      <c r="X76" s="9">
        <v>0</v>
      </c>
      <c r="Y76" s="9">
        <v>4</v>
      </c>
      <c r="Z76" s="9">
        <v>16</v>
      </c>
    </row>
    <row r="77" spans="1:26" x14ac:dyDescent="0.25">
      <c r="A77" s="9" t="s">
        <v>26</v>
      </c>
      <c r="B77" s="9" t="s">
        <v>32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36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4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40</v>
      </c>
      <c r="X77" s="9">
        <v>0</v>
      </c>
      <c r="Y77" s="9">
        <v>0</v>
      </c>
      <c r="Z77" s="9">
        <v>20</v>
      </c>
    </row>
    <row r="78" spans="1:26" x14ac:dyDescent="0.25">
      <c r="A78" s="9" t="s">
        <v>26</v>
      </c>
      <c r="B78" s="9" t="s">
        <v>32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12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64</v>
      </c>
      <c r="X78" s="9">
        <v>4</v>
      </c>
      <c r="Y78" s="9">
        <v>0</v>
      </c>
      <c r="Z78" s="9">
        <v>20</v>
      </c>
    </row>
    <row r="79" spans="1:26" x14ac:dyDescent="0.25">
      <c r="A79" s="9" t="s">
        <v>26</v>
      </c>
      <c r="B79" s="9" t="s">
        <v>32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36</v>
      </c>
      <c r="X79" s="9">
        <v>0</v>
      </c>
      <c r="Y79" s="9">
        <v>52</v>
      </c>
      <c r="Z79" s="9">
        <v>12</v>
      </c>
    </row>
    <row r="80" spans="1:26" x14ac:dyDescent="0.25">
      <c r="A80" s="9" t="s">
        <v>26</v>
      </c>
      <c r="B80" s="9" t="s">
        <v>32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4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4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28</v>
      </c>
      <c r="X80" s="9">
        <v>4</v>
      </c>
      <c r="Y80" s="9">
        <v>52</v>
      </c>
      <c r="Z80" s="9">
        <v>8</v>
      </c>
    </row>
    <row r="81" spans="1:26" x14ac:dyDescent="0.25">
      <c r="A81" s="9" t="s">
        <v>26</v>
      </c>
      <c r="B81" s="9" t="s">
        <v>32</v>
      </c>
      <c r="C81" s="9">
        <v>0</v>
      </c>
      <c r="D81" s="9">
        <v>0</v>
      </c>
      <c r="E81" s="9">
        <v>4</v>
      </c>
      <c r="F81" s="9">
        <v>0</v>
      </c>
      <c r="G81" s="9">
        <v>0</v>
      </c>
      <c r="H81" s="9">
        <v>0</v>
      </c>
      <c r="I81" s="9">
        <v>0</v>
      </c>
      <c r="J81" s="9">
        <v>8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56</v>
      </c>
      <c r="X81" s="9">
        <v>8</v>
      </c>
      <c r="Y81" s="9">
        <v>16</v>
      </c>
      <c r="Z81" s="9">
        <v>8</v>
      </c>
    </row>
    <row r="82" spans="1:26" x14ac:dyDescent="0.25">
      <c r="A82" s="9" t="s">
        <v>26</v>
      </c>
      <c r="B82" s="9" t="s">
        <v>32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4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52</v>
      </c>
      <c r="X82" s="9">
        <v>8</v>
      </c>
      <c r="Y82" s="9">
        <v>32</v>
      </c>
      <c r="Z82" s="9">
        <v>4</v>
      </c>
    </row>
    <row r="83" spans="1:26" x14ac:dyDescent="0.25">
      <c r="A83" s="9" t="s">
        <v>26</v>
      </c>
      <c r="B83" s="9" t="s">
        <v>32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40</v>
      </c>
      <c r="X83" s="9">
        <v>0</v>
      </c>
      <c r="Y83" s="9">
        <v>60</v>
      </c>
      <c r="Z83" s="9">
        <v>0</v>
      </c>
    </row>
    <row r="84" spans="1:26" x14ac:dyDescent="0.25">
      <c r="A84" s="9" t="s">
        <v>26</v>
      </c>
      <c r="B84" s="9" t="s">
        <v>32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20</v>
      </c>
      <c r="X84" s="9">
        <v>4</v>
      </c>
      <c r="Y84" s="9">
        <v>72</v>
      </c>
      <c r="Z84" s="9">
        <v>4</v>
      </c>
    </row>
    <row r="85" spans="1:26" x14ac:dyDescent="0.25">
      <c r="A85" s="9" t="s">
        <v>26</v>
      </c>
      <c r="B85" s="9" t="s">
        <v>32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4</v>
      </c>
      <c r="X85" s="9">
        <v>0</v>
      </c>
      <c r="Y85" s="9">
        <v>92</v>
      </c>
      <c r="Z85" s="9">
        <v>4</v>
      </c>
    </row>
    <row r="86" spans="1:26" x14ac:dyDescent="0.25">
      <c r="A86" s="9" t="s">
        <v>26</v>
      </c>
      <c r="B86" s="9" t="s">
        <v>32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48</v>
      </c>
      <c r="X86" s="9">
        <v>0</v>
      </c>
      <c r="Y86" s="9">
        <v>52</v>
      </c>
      <c r="Z86" s="9">
        <v>0</v>
      </c>
    </row>
    <row r="87" spans="1:26" x14ac:dyDescent="0.25">
      <c r="A87" s="9" t="s">
        <v>26</v>
      </c>
      <c r="B87" s="9" t="s">
        <v>32</v>
      </c>
      <c r="C87" s="9">
        <v>0</v>
      </c>
      <c r="D87" s="9">
        <v>0</v>
      </c>
      <c r="E87" s="9">
        <v>8</v>
      </c>
      <c r="F87" s="9">
        <v>0</v>
      </c>
      <c r="G87" s="9">
        <v>0</v>
      </c>
      <c r="H87" s="9">
        <v>0</v>
      </c>
      <c r="I87" s="9">
        <v>0</v>
      </c>
      <c r="J87" s="9">
        <v>4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4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64</v>
      </c>
      <c r="X87" s="9">
        <v>0</v>
      </c>
      <c r="Y87" s="9">
        <v>16</v>
      </c>
      <c r="Z87" s="9">
        <v>4</v>
      </c>
    </row>
    <row r="88" spans="1:26" x14ac:dyDescent="0.25">
      <c r="A88" s="9" t="s">
        <v>26</v>
      </c>
      <c r="B88" s="9" t="s">
        <v>32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4</v>
      </c>
      <c r="K88" s="9">
        <v>4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68</v>
      </c>
      <c r="X88" s="9">
        <v>0</v>
      </c>
      <c r="Y88" s="9">
        <v>16</v>
      </c>
      <c r="Z88" s="9">
        <v>8</v>
      </c>
    </row>
    <row r="89" spans="1:26" x14ac:dyDescent="0.25">
      <c r="A89" s="9" t="s">
        <v>26</v>
      </c>
      <c r="B89" s="9" t="s">
        <v>32</v>
      </c>
      <c r="C89" s="9">
        <v>0</v>
      </c>
      <c r="D89" s="9">
        <v>0</v>
      </c>
      <c r="E89" s="9">
        <v>12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68</v>
      </c>
      <c r="X89" s="9">
        <v>0</v>
      </c>
      <c r="Y89" s="9">
        <v>8</v>
      </c>
      <c r="Z89" s="9">
        <v>12</v>
      </c>
    </row>
    <row r="90" spans="1:26" x14ac:dyDescent="0.25">
      <c r="A90" s="9" t="s">
        <v>26</v>
      </c>
      <c r="B90" s="9" t="s">
        <v>32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8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72</v>
      </c>
      <c r="X90" s="9">
        <v>0</v>
      </c>
      <c r="Y90" s="9">
        <v>4</v>
      </c>
      <c r="Z90" s="9">
        <v>16</v>
      </c>
    </row>
    <row r="91" spans="1:26" x14ac:dyDescent="0.25">
      <c r="A91" s="9" t="s">
        <v>26</v>
      </c>
      <c r="B91" s="9" t="s">
        <v>32</v>
      </c>
      <c r="C91" s="9">
        <v>0</v>
      </c>
      <c r="D91" s="9">
        <v>0</v>
      </c>
      <c r="E91" s="9">
        <v>32</v>
      </c>
      <c r="F91" s="9">
        <v>0</v>
      </c>
      <c r="G91" s="9">
        <v>0</v>
      </c>
      <c r="H91" s="9">
        <v>0</v>
      </c>
      <c r="I91" s="9">
        <v>0</v>
      </c>
      <c r="J91" s="9">
        <v>12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28</v>
      </c>
      <c r="X91" s="9">
        <v>0</v>
      </c>
      <c r="Y91" s="9">
        <v>0</v>
      </c>
      <c r="Z91" s="9">
        <v>28</v>
      </c>
    </row>
    <row r="92" spans="1:26" x14ac:dyDescent="0.25">
      <c r="A92" s="9" t="s">
        <v>33</v>
      </c>
      <c r="B92" s="9" t="s">
        <v>27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4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52</v>
      </c>
      <c r="X92" s="9">
        <v>0</v>
      </c>
      <c r="Y92" s="9">
        <v>44</v>
      </c>
      <c r="Z92" s="9">
        <v>0</v>
      </c>
    </row>
    <row r="93" spans="1:26" x14ac:dyDescent="0.25">
      <c r="A93" s="9" t="s">
        <v>33</v>
      </c>
      <c r="B93" s="9" t="s">
        <v>27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4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28</v>
      </c>
      <c r="X93" s="9">
        <v>0</v>
      </c>
      <c r="Y93" s="9">
        <v>68</v>
      </c>
      <c r="Z93" s="9">
        <v>0</v>
      </c>
    </row>
    <row r="94" spans="1:26" x14ac:dyDescent="0.25">
      <c r="A94" s="9" t="s">
        <v>33</v>
      </c>
      <c r="B94" s="9" t="s">
        <v>27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4</v>
      </c>
      <c r="K94" s="9">
        <v>0</v>
      </c>
      <c r="L94" s="9">
        <v>0</v>
      </c>
      <c r="M94" s="9">
        <v>0</v>
      </c>
      <c r="N94" s="9">
        <v>24</v>
      </c>
      <c r="O94" s="9">
        <v>0</v>
      </c>
      <c r="P94" s="9">
        <v>0</v>
      </c>
      <c r="Q94" s="9">
        <v>0</v>
      </c>
      <c r="R94" s="9">
        <v>8</v>
      </c>
      <c r="S94" s="9">
        <v>0</v>
      </c>
      <c r="T94" s="9">
        <v>0</v>
      </c>
      <c r="U94" s="9">
        <v>0</v>
      </c>
      <c r="V94" s="9">
        <v>0</v>
      </c>
      <c r="W94" s="9">
        <v>24</v>
      </c>
      <c r="X94" s="9">
        <v>0</v>
      </c>
      <c r="Y94" s="9">
        <v>36</v>
      </c>
      <c r="Z94" s="9">
        <v>4</v>
      </c>
    </row>
    <row r="95" spans="1:26" x14ac:dyDescent="0.25">
      <c r="A95" s="9" t="s">
        <v>33</v>
      </c>
      <c r="B95" s="9" t="s">
        <v>27</v>
      </c>
      <c r="C95" s="9">
        <v>0</v>
      </c>
      <c r="D95" s="9">
        <v>0</v>
      </c>
      <c r="E95" s="9">
        <v>12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24</v>
      </c>
      <c r="X95" s="9">
        <v>0</v>
      </c>
      <c r="Y95" s="9">
        <v>64</v>
      </c>
      <c r="Z95" s="9">
        <v>0</v>
      </c>
    </row>
    <row r="96" spans="1:26" x14ac:dyDescent="0.25">
      <c r="A96" s="9" t="s">
        <v>33</v>
      </c>
      <c r="B96" s="9" t="s">
        <v>27</v>
      </c>
      <c r="C96" s="9">
        <v>24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4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44</v>
      </c>
      <c r="X96" s="9">
        <v>0</v>
      </c>
      <c r="Y96" s="9">
        <v>28</v>
      </c>
      <c r="Z96" s="9">
        <v>0</v>
      </c>
    </row>
    <row r="97" spans="1:26" x14ac:dyDescent="0.25">
      <c r="A97" s="9" t="s">
        <v>33</v>
      </c>
      <c r="B97" s="9" t="s">
        <v>27</v>
      </c>
      <c r="C97" s="9">
        <v>12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4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40</v>
      </c>
      <c r="X97" s="9">
        <v>0</v>
      </c>
      <c r="Y97" s="9">
        <v>44</v>
      </c>
      <c r="Z97" s="9">
        <v>0</v>
      </c>
    </row>
    <row r="98" spans="1:26" x14ac:dyDescent="0.25">
      <c r="A98" s="9" t="s">
        <v>33</v>
      </c>
      <c r="B98" s="9" t="s">
        <v>27</v>
      </c>
      <c r="C98" s="9">
        <v>0</v>
      </c>
      <c r="D98" s="9">
        <v>0</v>
      </c>
      <c r="E98" s="9">
        <v>0</v>
      </c>
      <c r="F98" s="9">
        <v>24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8</v>
      </c>
      <c r="X98" s="9">
        <v>0</v>
      </c>
      <c r="Y98" s="9">
        <v>64</v>
      </c>
      <c r="Z98" s="9">
        <v>4</v>
      </c>
    </row>
    <row r="99" spans="1:26" x14ac:dyDescent="0.25">
      <c r="A99" s="9" t="s">
        <v>33</v>
      </c>
      <c r="B99" s="9" t="s">
        <v>27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4</v>
      </c>
      <c r="N99" s="9">
        <v>4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4</v>
      </c>
      <c r="X99" s="9">
        <v>0</v>
      </c>
      <c r="Y99" s="9">
        <v>88</v>
      </c>
      <c r="Z99" s="9">
        <v>0</v>
      </c>
    </row>
    <row r="100" spans="1:26" x14ac:dyDescent="0.25">
      <c r="A100" s="9" t="s">
        <v>33</v>
      </c>
      <c r="B100" s="9" t="s">
        <v>27</v>
      </c>
      <c r="C100" s="9">
        <v>0</v>
      </c>
      <c r="D100" s="9">
        <v>0</v>
      </c>
      <c r="E100" s="9">
        <v>8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4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4</v>
      </c>
      <c r="X100" s="9">
        <v>0</v>
      </c>
      <c r="Y100" s="9">
        <v>84</v>
      </c>
      <c r="Z100" s="9">
        <v>0</v>
      </c>
    </row>
    <row r="101" spans="1:26" x14ac:dyDescent="0.25">
      <c r="A101" s="9" t="s">
        <v>33</v>
      </c>
      <c r="B101" s="9" t="s">
        <v>27</v>
      </c>
      <c r="C101" s="9">
        <v>0</v>
      </c>
      <c r="D101" s="9">
        <v>0</v>
      </c>
      <c r="E101" s="9">
        <v>0</v>
      </c>
      <c r="F101" s="9">
        <v>0</v>
      </c>
      <c r="G101" s="9">
        <v>4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4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8</v>
      </c>
      <c r="X101" s="9">
        <v>0</v>
      </c>
      <c r="Y101" s="9">
        <v>84</v>
      </c>
      <c r="Z101" s="9">
        <v>0</v>
      </c>
    </row>
    <row r="102" spans="1:26" x14ac:dyDescent="0.25">
      <c r="A102" s="9" t="s">
        <v>33</v>
      </c>
      <c r="B102" s="9" t="s">
        <v>27</v>
      </c>
      <c r="C102" s="9">
        <v>0</v>
      </c>
      <c r="D102" s="9">
        <v>0</v>
      </c>
      <c r="E102" s="9">
        <v>28</v>
      </c>
      <c r="F102" s="9">
        <v>0</v>
      </c>
      <c r="G102" s="9">
        <v>0</v>
      </c>
      <c r="H102" s="9">
        <v>0</v>
      </c>
      <c r="I102" s="9">
        <v>0</v>
      </c>
      <c r="J102" s="9">
        <v>4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16</v>
      </c>
      <c r="X102" s="9">
        <v>0</v>
      </c>
      <c r="Y102" s="9">
        <v>52</v>
      </c>
      <c r="Z102" s="9">
        <v>0</v>
      </c>
    </row>
    <row r="103" spans="1:26" x14ac:dyDescent="0.25">
      <c r="A103" s="9" t="s">
        <v>33</v>
      </c>
      <c r="B103" s="9" t="s">
        <v>27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76</v>
      </c>
      <c r="X103" s="9">
        <v>4</v>
      </c>
      <c r="Y103" s="9">
        <v>20</v>
      </c>
      <c r="Z103" s="9">
        <v>0</v>
      </c>
    </row>
    <row r="104" spans="1:26" x14ac:dyDescent="0.25">
      <c r="A104" s="9" t="s">
        <v>33</v>
      </c>
      <c r="B104" s="9" t="s">
        <v>27</v>
      </c>
      <c r="C104" s="9">
        <v>0</v>
      </c>
      <c r="D104" s="9">
        <v>0</v>
      </c>
      <c r="E104" s="9">
        <v>12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36</v>
      </c>
      <c r="X104" s="9">
        <v>12</v>
      </c>
      <c r="Y104" s="9">
        <v>40</v>
      </c>
      <c r="Z104" s="9">
        <v>0</v>
      </c>
    </row>
    <row r="105" spans="1:26" x14ac:dyDescent="0.25">
      <c r="A105" s="9" t="s">
        <v>33</v>
      </c>
      <c r="B105" s="9" t="s">
        <v>27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12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40</v>
      </c>
      <c r="X105" s="9">
        <v>0</v>
      </c>
      <c r="Y105" s="9">
        <v>44</v>
      </c>
      <c r="Z105" s="9">
        <v>4</v>
      </c>
    </row>
    <row r="106" spans="1:26" x14ac:dyDescent="0.25">
      <c r="A106" s="9" t="s">
        <v>33</v>
      </c>
      <c r="B106" s="9" t="s">
        <v>27</v>
      </c>
      <c r="C106" s="9">
        <v>0</v>
      </c>
      <c r="D106" s="9">
        <v>0</v>
      </c>
      <c r="E106" s="9">
        <v>12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4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24</v>
      </c>
      <c r="X106" s="9">
        <v>0</v>
      </c>
      <c r="Y106" s="9">
        <v>56</v>
      </c>
      <c r="Z106" s="9">
        <v>4</v>
      </c>
    </row>
    <row r="107" spans="1:26" x14ac:dyDescent="0.25">
      <c r="A107" s="9" t="s">
        <v>33</v>
      </c>
      <c r="B107" s="9" t="s">
        <v>28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4</v>
      </c>
      <c r="K107" s="9">
        <v>0</v>
      </c>
      <c r="L107" s="9">
        <v>0</v>
      </c>
      <c r="M107" s="9">
        <v>0</v>
      </c>
      <c r="N107" s="9">
        <v>8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12</v>
      </c>
      <c r="X107" s="9">
        <v>0</v>
      </c>
      <c r="Y107" s="9">
        <v>76</v>
      </c>
      <c r="Z107" s="9">
        <v>0</v>
      </c>
    </row>
    <row r="108" spans="1:26" x14ac:dyDescent="0.25">
      <c r="A108" s="9" t="s">
        <v>33</v>
      </c>
      <c r="B108" s="9" t="s">
        <v>28</v>
      </c>
      <c r="C108" s="9">
        <v>12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12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4</v>
      </c>
      <c r="X108" s="9">
        <v>0</v>
      </c>
      <c r="Y108" s="9">
        <v>68</v>
      </c>
      <c r="Z108" s="9">
        <v>4</v>
      </c>
    </row>
    <row r="109" spans="1:26" x14ac:dyDescent="0.25">
      <c r="A109" s="9" t="s">
        <v>33</v>
      </c>
      <c r="B109" s="9" t="s">
        <v>28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8</v>
      </c>
      <c r="N109" s="9">
        <v>0</v>
      </c>
      <c r="O109" s="9">
        <v>0</v>
      </c>
      <c r="P109" s="9">
        <v>8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84</v>
      </c>
      <c r="Z109" s="9">
        <v>0</v>
      </c>
    </row>
    <row r="110" spans="1:26" x14ac:dyDescent="0.25">
      <c r="A110" s="9" t="s">
        <v>33</v>
      </c>
      <c r="B110" s="9" t="s">
        <v>28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24</v>
      </c>
      <c r="N110" s="9">
        <v>12</v>
      </c>
      <c r="O110" s="9">
        <v>0</v>
      </c>
      <c r="P110" s="9">
        <v>4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60</v>
      </c>
      <c r="Z110" s="9">
        <v>0</v>
      </c>
    </row>
    <row r="111" spans="1:26" x14ac:dyDescent="0.25">
      <c r="A111" s="9" t="s">
        <v>33</v>
      </c>
      <c r="B111" s="9" t="s">
        <v>28</v>
      </c>
      <c r="C111" s="9">
        <v>0</v>
      </c>
      <c r="D111" s="9">
        <v>0</v>
      </c>
      <c r="E111" s="9">
        <v>8</v>
      </c>
      <c r="F111" s="9">
        <v>0</v>
      </c>
      <c r="G111" s="9">
        <v>0</v>
      </c>
      <c r="H111" s="9">
        <v>0</v>
      </c>
      <c r="I111" s="9">
        <v>0</v>
      </c>
      <c r="J111" s="9">
        <v>4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20</v>
      </c>
      <c r="X111" s="9">
        <v>0</v>
      </c>
      <c r="Y111" s="9">
        <v>64</v>
      </c>
      <c r="Z111" s="9">
        <v>4</v>
      </c>
    </row>
    <row r="112" spans="1:26" x14ac:dyDescent="0.25">
      <c r="A112" s="9" t="s">
        <v>33</v>
      </c>
      <c r="B112" s="9" t="s">
        <v>28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48</v>
      </c>
      <c r="X112" s="9">
        <v>0</v>
      </c>
      <c r="Y112" s="9">
        <v>52</v>
      </c>
      <c r="Z112" s="9">
        <v>0</v>
      </c>
    </row>
    <row r="113" spans="1:26" x14ac:dyDescent="0.25">
      <c r="A113" s="9" t="s">
        <v>33</v>
      </c>
      <c r="B113" s="9" t="s">
        <v>28</v>
      </c>
      <c r="C113" s="9">
        <v>0</v>
      </c>
      <c r="D113" s="9">
        <v>0</v>
      </c>
      <c r="E113" s="9">
        <v>48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4</v>
      </c>
      <c r="X113" s="9">
        <v>4</v>
      </c>
      <c r="Y113" s="9">
        <v>40</v>
      </c>
      <c r="Z113" s="9">
        <v>4</v>
      </c>
    </row>
    <row r="114" spans="1:26" x14ac:dyDescent="0.25">
      <c r="A114" s="9" t="s">
        <v>33</v>
      </c>
      <c r="B114" s="9" t="s">
        <v>28</v>
      </c>
      <c r="C114" s="9">
        <v>0</v>
      </c>
      <c r="D114" s="9">
        <v>0</v>
      </c>
      <c r="E114" s="9">
        <v>40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16</v>
      </c>
      <c r="X114" s="9">
        <v>0</v>
      </c>
      <c r="Y114" s="9">
        <v>40</v>
      </c>
      <c r="Z114" s="9">
        <v>4</v>
      </c>
    </row>
    <row r="115" spans="1:26" x14ac:dyDescent="0.25">
      <c r="A115" s="9" t="s">
        <v>33</v>
      </c>
      <c r="B115" s="9" t="s">
        <v>28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4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24</v>
      </c>
      <c r="X115" s="9">
        <v>0</v>
      </c>
      <c r="Y115" s="9">
        <v>72</v>
      </c>
      <c r="Z115" s="9">
        <v>0</v>
      </c>
    </row>
    <row r="116" spans="1:26" x14ac:dyDescent="0.25">
      <c r="A116" s="9" t="s">
        <v>33</v>
      </c>
      <c r="B116" s="9" t="s">
        <v>28</v>
      </c>
      <c r="C116" s="9">
        <v>4</v>
      </c>
      <c r="D116" s="9">
        <v>0</v>
      </c>
      <c r="E116" s="9">
        <v>12</v>
      </c>
      <c r="F116" s="9">
        <v>0</v>
      </c>
      <c r="G116" s="9">
        <v>0</v>
      </c>
      <c r="H116" s="9">
        <v>0</v>
      </c>
      <c r="I116" s="9">
        <v>0</v>
      </c>
      <c r="J116" s="9">
        <v>4</v>
      </c>
      <c r="K116" s="9">
        <v>0</v>
      </c>
      <c r="L116" s="9">
        <v>0</v>
      </c>
      <c r="M116" s="9">
        <v>0</v>
      </c>
      <c r="N116" s="9">
        <v>4</v>
      </c>
      <c r="O116" s="9">
        <v>0</v>
      </c>
      <c r="P116" s="9">
        <v>0</v>
      </c>
      <c r="Q116" s="9">
        <v>12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16</v>
      </c>
      <c r="X116" s="9">
        <v>4</v>
      </c>
      <c r="Y116" s="9">
        <v>44</v>
      </c>
      <c r="Z116" s="9">
        <v>0</v>
      </c>
    </row>
    <row r="117" spans="1:26" x14ac:dyDescent="0.25">
      <c r="A117" s="9" t="s">
        <v>33</v>
      </c>
      <c r="B117" s="9" t="s">
        <v>28</v>
      </c>
      <c r="C117" s="9">
        <v>8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4</v>
      </c>
      <c r="O117" s="9">
        <v>0</v>
      </c>
      <c r="P117" s="9">
        <v>8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20</v>
      </c>
      <c r="X117" s="9">
        <v>0</v>
      </c>
      <c r="Y117" s="9">
        <v>60</v>
      </c>
      <c r="Z117" s="9">
        <v>0</v>
      </c>
    </row>
    <row r="118" spans="1:26" x14ac:dyDescent="0.25">
      <c r="A118" s="9" t="s">
        <v>33</v>
      </c>
      <c r="B118" s="9" t="s">
        <v>28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4</v>
      </c>
      <c r="N118" s="9">
        <v>0</v>
      </c>
      <c r="O118" s="9">
        <v>0</v>
      </c>
      <c r="P118" s="9">
        <v>0</v>
      </c>
      <c r="Q118" s="9">
        <v>4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92</v>
      </c>
      <c r="Z118" s="9">
        <v>0</v>
      </c>
    </row>
    <row r="119" spans="1:26" x14ac:dyDescent="0.25">
      <c r="A119" s="9" t="s">
        <v>33</v>
      </c>
      <c r="B119" s="9" t="s">
        <v>28</v>
      </c>
      <c r="C119" s="9">
        <v>16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4</v>
      </c>
      <c r="O119" s="9">
        <v>0</v>
      </c>
      <c r="P119" s="9">
        <v>0</v>
      </c>
      <c r="Q119" s="9">
        <v>8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8</v>
      </c>
      <c r="X119" s="9">
        <v>0</v>
      </c>
      <c r="Y119" s="9">
        <v>64</v>
      </c>
      <c r="Z119" s="9">
        <v>0</v>
      </c>
    </row>
    <row r="120" spans="1:26" x14ac:dyDescent="0.25">
      <c r="A120" s="9" t="s">
        <v>33</v>
      </c>
      <c r="B120" s="9" t="s">
        <v>28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8</v>
      </c>
      <c r="O120" s="9">
        <v>0</v>
      </c>
      <c r="P120" s="9">
        <v>0</v>
      </c>
      <c r="Q120" s="9">
        <v>4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8</v>
      </c>
      <c r="X120" s="9">
        <v>0</v>
      </c>
      <c r="Y120" s="9">
        <v>80</v>
      </c>
      <c r="Z120" s="9">
        <v>0</v>
      </c>
    </row>
    <row r="121" spans="1:26" x14ac:dyDescent="0.25">
      <c r="A121" s="9" t="s">
        <v>33</v>
      </c>
      <c r="B121" s="9" t="s">
        <v>28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4</v>
      </c>
      <c r="N121" s="9">
        <v>4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92</v>
      </c>
      <c r="Z121" s="9">
        <v>0</v>
      </c>
    </row>
    <row r="122" spans="1:26" x14ac:dyDescent="0.25">
      <c r="A122" s="9" t="s">
        <v>33</v>
      </c>
      <c r="B122" s="9" t="s">
        <v>29</v>
      </c>
      <c r="C122" s="9">
        <v>0</v>
      </c>
      <c r="D122" s="9">
        <v>0</v>
      </c>
      <c r="E122" s="9">
        <v>16</v>
      </c>
      <c r="F122" s="9">
        <v>4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8</v>
      </c>
      <c r="N122" s="9">
        <v>12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4</v>
      </c>
      <c r="X122" s="9">
        <v>4</v>
      </c>
      <c r="Y122" s="9">
        <v>52</v>
      </c>
      <c r="Z122" s="9">
        <v>0</v>
      </c>
    </row>
    <row r="123" spans="1:26" x14ac:dyDescent="0.25">
      <c r="A123" s="9" t="s">
        <v>33</v>
      </c>
      <c r="B123" s="9" t="s">
        <v>29</v>
      </c>
      <c r="C123" s="9">
        <v>0</v>
      </c>
      <c r="D123" s="9">
        <v>0</v>
      </c>
      <c r="E123" s="9">
        <v>0</v>
      </c>
      <c r="F123" s="9">
        <v>0</v>
      </c>
      <c r="G123" s="9">
        <v>4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12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8</v>
      </c>
      <c r="X123" s="9">
        <v>0</v>
      </c>
      <c r="Y123" s="9">
        <v>76</v>
      </c>
      <c r="Z123" s="9">
        <v>0</v>
      </c>
    </row>
    <row r="124" spans="1:26" x14ac:dyDescent="0.25">
      <c r="A124" s="9" t="s">
        <v>33</v>
      </c>
      <c r="B124" s="9" t="s">
        <v>29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16</v>
      </c>
      <c r="O124" s="9">
        <v>0</v>
      </c>
      <c r="P124" s="9">
        <v>0</v>
      </c>
      <c r="Q124" s="9">
        <v>0</v>
      </c>
      <c r="R124" s="9">
        <v>0</v>
      </c>
      <c r="S124" s="9">
        <v>8</v>
      </c>
      <c r="T124" s="9">
        <v>0</v>
      </c>
      <c r="U124" s="9">
        <v>0</v>
      </c>
      <c r="V124" s="9">
        <v>0</v>
      </c>
      <c r="W124" s="9">
        <v>8</v>
      </c>
      <c r="X124" s="9">
        <v>0</v>
      </c>
      <c r="Y124" s="9">
        <v>68</v>
      </c>
      <c r="Z124" s="9">
        <v>0</v>
      </c>
    </row>
    <row r="125" spans="1:26" x14ac:dyDescent="0.25">
      <c r="A125" s="9" t="s">
        <v>33</v>
      </c>
      <c r="B125" s="9" t="s">
        <v>29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100</v>
      </c>
      <c r="Z125" s="9">
        <v>0</v>
      </c>
    </row>
    <row r="126" spans="1:26" x14ac:dyDescent="0.25">
      <c r="A126" s="9" t="s">
        <v>33</v>
      </c>
      <c r="B126" s="9" t="s">
        <v>29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4</v>
      </c>
      <c r="N126" s="9">
        <v>12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4</v>
      </c>
      <c r="X126" s="9">
        <v>0</v>
      </c>
      <c r="Y126" s="9">
        <v>80</v>
      </c>
      <c r="Z126" s="9">
        <v>0</v>
      </c>
    </row>
    <row r="127" spans="1:26" x14ac:dyDescent="0.25">
      <c r="A127" s="9" t="s">
        <v>33</v>
      </c>
      <c r="B127" s="9" t="s">
        <v>29</v>
      </c>
      <c r="C127" s="9">
        <v>8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4</v>
      </c>
      <c r="N127" s="9">
        <v>4</v>
      </c>
      <c r="O127" s="9">
        <v>0</v>
      </c>
      <c r="P127" s="9">
        <v>0</v>
      </c>
      <c r="Q127" s="9">
        <v>8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20</v>
      </c>
      <c r="X127" s="9">
        <v>0</v>
      </c>
      <c r="Y127" s="9">
        <v>56</v>
      </c>
      <c r="Z127" s="9">
        <v>0</v>
      </c>
    </row>
    <row r="128" spans="1:26" x14ac:dyDescent="0.25">
      <c r="A128" s="9" t="s">
        <v>33</v>
      </c>
      <c r="B128" s="9" t="s">
        <v>29</v>
      </c>
      <c r="C128" s="9">
        <v>40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4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4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32</v>
      </c>
      <c r="X128" s="9">
        <v>0</v>
      </c>
      <c r="Y128" s="9">
        <v>16</v>
      </c>
      <c r="Z128" s="9">
        <v>4</v>
      </c>
    </row>
    <row r="129" spans="1:26" x14ac:dyDescent="0.25">
      <c r="A129" s="9" t="s">
        <v>33</v>
      </c>
      <c r="B129" s="9" t="s">
        <v>29</v>
      </c>
      <c r="C129" s="9">
        <v>0</v>
      </c>
      <c r="D129" s="9">
        <v>0</v>
      </c>
      <c r="E129" s="9">
        <v>0</v>
      </c>
      <c r="F129" s="9">
        <v>0</v>
      </c>
      <c r="G129" s="9">
        <v>4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4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24</v>
      </c>
      <c r="X129" s="9">
        <v>12</v>
      </c>
      <c r="Y129" s="9">
        <v>56</v>
      </c>
      <c r="Z129" s="9">
        <v>0</v>
      </c>
    </row>
    <row r="130" spans="1:26" x14ac:dyDescent="0.25">
      <c r="A130" s="9" t="s">
        <v>33</v>
      </c>
      <c r="B130" s="9" t="s">
        <v>29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4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40</v>
      </c>
      <c r="X130" s="9">
        <v>0</v>
      </c>
      <c r="Y130" s="9">
        <v>56</v>
      </c>
      <c r="Z130" s="9">
        <v>0</v>
      </c>
    </row>
    <row r="131" spans="1:26" x14ac:dyDescent="0.25">
      <c r="A131" s="9" t="s">
        <v>33</v>
      </c>
      <c r="B131" s="9" t="s">
        <v>29</v>
      </c>
      <c r="C131" s="9">
        <v>0</v>
      </c>
      <c r="D131" s="9">
        <v>0</v>
      </c>
      <c r="E131" s="9">
        <v>8</v>
      </c>
      <c r="F131" s="9">
        <v>0</v>
      </c>
      <c r="G131" s="9">
        <v>0</v>
      </c>
      <c r="H131" s="9">
        <v>0</v>
      </c>
      <c r="I131" s="9">
        <v>0</v>
      </c>
      <c r="J131" s="9">
        <v>4</v>
      </c>
      <c r="K131" s="9">
        <v>0</v>
      </c>
      <c r="L131" s="9">
        <v>0</v>
      </c>
      <c r="M131" s="9">
        <v>0</v>
      </c>
      <c r="N131" s="9">
        <v>4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64</v>
      </c>
      <c r="X131" s="9">
        <v>0</v>
      </c>
      <c r="Y131" s="9">
        <v>20</v>
      </c>
      <c r="Z131" s="9">
        <v>0</v>
      </c>
    </row>
    <row r="132" spans="1:26" x14ac:dyDescent="0.25">
      <c r="A132" s="9" t="s">
        <v>33</v>
      </c>
      <c r="B132" s="9" t="s">
        <v>29</v>
      </c>
      <c r="C132" s="9">
        <v>4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4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48</v>
      </c>
      <c r="X132" s="9">
        <v>4</v>
      </c>
      <c r="Y132" s="9">
        <v>40</v>
      </c>
      <c r="Z132" s="9">
        <v>0</v>
      </c>
    </row>
    <row r="133" spans="1:26" x14ac:dyDescent="0.25">
      <c r="A133" s="9" t="s">
        <v>33</v>
      </c>
      <c r="B133" s="9" t="s">
        <v>29</v>
      </c>
      <c r="C133" s="9">
        <v>8</v>
      </c>
      <c r="D133" s="9">
        <v>0</v>
      </c>
      <c r="E133" s="9">
        <v>28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4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12</v>
      </c>
      <c r="X133" s="9">
        <v>0</v>
      </c>
      <c r="Y133" s="9">
        <v>44</v>
      </c>
      <c r="Z133" s="9">
        <v>4</v>
      </c>
    </row>
    <row r="134" spans="1:26" x14ac:dyDescent="0.25">
      <c r="A134" s="9" t="s">
        <v>33</v>
      </c>
      <c r="B134" s="9" t="s">
        <v>29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16</v>
      </c>
      <c r="X134" s="9">
        <v>4</v>
      </c>
      <c r="Y134" s="9">
        <v>76</v>
      </c>
      <c r="Z134" s="9">
        <v>4</v>
      </c>
    </row>
    <row r="135" spans="1:26" x14ac:dyDescent="0.25">
      <c r="A135" s="9" t="s">
        <v>33</v>
      </c>
      <c r="B135" s="9" t="s">
        <v>29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12</v>
      </c>
      <c r="X135" s="9">
        <v>16</v>
      </c>
      <c r="Y135" s="9">
        <v>72</v>
      </c>
      <c r="Z135" s="9">
        <v>0</v>
      </c>
    </row>
    <row r="136" spans="1:26" x14ac:dyDescent="0.25">
      <c r="A136" s="9" t="s">
        <v>33</v>
      </c>
      <c r="B136" s="9" t="s">
        <v>29</v>
      </c>
      <c r="C136" s="9">
        <v>0</v>
      </c>
      <c r="D136" s="9">
        <v>0</v>
      </c>
      <c r="E136" s="9">
        <v>8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16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8</v>
      </c>
      <c r="X136" s="9">
        <v>0</v>
      </c>
      <c r="Y136" s="9">
        <v>68</v>
      </c>
      <c r="Z136" s="9">
        <v>0</v>
      </c>
    </row>
    <row r="137" spans="1:26" x14ac:dyDescent="0.25">
      <c r="A137" s="9" t="s">
        <v>33</v>
      </c>
      <c r="B137" s="9" t="s">
        <v>30</v>
      </c>
      <c r="C137" s="9">
        <v>0</v>
      </c>
      <c r="D137" s="9">
        <v>0</v>
      </c>
      <c r="E137" s="9">
        <v>0</v>
      </c>
      <c r="F137" s="9">
        <v>4</v>
      </c>
      <c r="G137" s="9">
        <v>0</v>
      </c>
      <c r="H137" s="9">
        <v>0</v>
      </c>
      <c r="I137" s="9">
        <v>4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4</v>
      </c>
      <c r="U137" s="9">
        <v>0</v>
      </c>
      <c r="V137" s="9">
        <v>0</v>
      </c>
      <c r="W137" s="9">
        <v>20</v>
      </c>
      <c r="X137" s="9">
        <v>0</v>
      </c>
      <c r="Y137" s="9">
        <v>68</v>
      </c>
      <c r="Z137" s="9">
        <v>0</v>
      </c>
    </row>
    <row r="138" spans="1:26" x14ac:dyDescent="0.25">
      <c r="A138" s="9" t="s">
        <v>33</v>
      </c>
      <c r="B138" s="9" t="s">
        <v>30</v>
      </c>
      <c r="C138" s="9">
        <v>0</v>
      </c>
      <c r="D138" s="9">
        <v>0</v>
      </c>
      <c r="E138" s="9">
        <v>0</v>
      </c>
      <c r="F138" s="9">
        <v>52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12</v>
      </c>
      <c r="X138" s="9">
        <v>8</v>
      </c>
      <c r="Y138" s="9">
        <v>24</v>
      </c>
      <c r="Z138" s="9">
        <v>4</v>
      </c>
    </row>
    <row r="139" spans="1:26" x14ac:dyDescent="0.25">
      <c r="A139" s="9" t="s">
        <v>33</v>
      </c>
      <c r="B139" s="9" t="s">
        <v>30</v>
      </c>
      <c r="C139" s="9">
        <v>28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4</v>
      </c>
      <c r="U139" s="9">
        <v>0</v>
      </c>
      <c r="V139" s="9">
        <v>0</v>
      </c>
      <c r="W139" s="9">
        <v>32</v>
      </c>
      <c r="X139" s="9">
        <v>0</v>
      </c>
      <c r="Y139" s="9">
        <v>36</v>
      </c>
      <c r="Z139" s="9">
        <v>0</v>
      </c>
    </row>
    <row r="140" spans="1:26" x14ac:dyDescent="0.25">
      <c r="A140" s="9" t="s">
        <v>33</v>
      </c>
      <c r="B140" s="9" t="s">
        <v>30</v>
      </c>
      <c r="C140" s="9">
        <v>20</v>
      </c>
      <c r="D140" s="9">
        <v>0</v>
      </c>
      <c r="E140" s="9">
        <v>12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4</v>
      </c>
      <c r="O140" s="9">
        <v>0</v>
      </c>
      <c r="P140" s="9">
        <v>0</v>
      </c>
      <c r="Q140" s="9">
        <v>4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28</v>
      </c>
      <c r="X140" s="9">
        <v>0</v>
      </c>
      <c r="Y140" s="9">
        <v>32</v>
      </c>
      <c r="Z140" s="9">
        <v>0</v>
      </c>
    </row>
    <row r="141" spans="1:26" x14ac:dyDescent="0.25">
      <c r="A141" s="9" t="s">
        <v>33</v>
      </c>
      <c r="B141" s="9" t="s">
        <v>30</v>
      </c>
      <c r="C141" s="9">
        <v>0</v>
      </c>
      <c r="D141" s="9">
        <v>0</v>
      </c>
      <c r="E141" s="9">
        <v>4</v>
      </c>
      <c r="F141" s="9">
        <v>0</v>
      </c>
      <c r="G141" s="9">
        <v>4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28</v>
      </c>
      <c r="X141" s="9">
        <v>0</v>
      </c>
      <c r="Y141" s="9">
        <v>60</v>
      </c>
      <c r="Z141" s="9">
        <v>4</v>
      </c>
    </row>
    <row r="142" spans="1:26" x14ac:dyDescent="0.25">
      <c r="A142" s="9" t="s">
        <v>33</v>
      </c>
      <c r="B142" s="9" t="s">
        <v>30</v>
      </c>
      <c r="C142" s="9">
        <v>0</v>
      </c>
      <c r="D142" s="9">
        <v>0</v>
      </c>
      <c r="E142" s="9">
        <v>8</v>
      </c>
      <c r="F142" s="9">
        <v>0</v>
      </c>
      <c r="G142" s="9">
        <v>0</v>
      </c>
      <c r="H142" s="9">
        <v>0</v>
      </c>
      <c r="I142" s="9">
        <v>0</v>
      </c>
      <c r="J142" s="9">
        <v>4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12</v>
      </c>
      <c r="X142" s="9">
        <v>0</v>
      </c>
      <c r="Y142" s="9">
        <v>76</v>
      </c>
      <c r="Z142" s="9">
        <v>0</v>
      </c>
    </row>
    <row r="143" spans="1:26" x14ac:dyDescent="0.25">
      <c r="A143" s="9" t="s">
        <v>33</v>
      </c>
      <c r="B143" s="9" t="s">
        <v>30</v>
      </c>
      <c r="C143" s="9">
        <v>0</v>
      </c>
      <c r="D143" s="9">
        <v>0</v>
      </c>
      <c r="E143" s="9">
        <v>0</v>
      </c>
      <c r="F143" s="9">
        <v>20</v>
      </c>
      <c r="G143" s="9">
        <v>0</v>
      </c>
      <c r="H143" s="9">
        <v>0</v>
      </c>
      <c r="I143" s="9">
        <v>0</v>
      </c>
      <c r="J143" s="9">
        <v>4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32</v>
      </c>
      <c r="X143" s="9">
        <v>0</v>
      </c>
      <c r="Y143" s="9">
        <v>44</v>
      </c>
      <c r="Z143" s="9">
        <v>0</v>
      </c>
    </row>
    <row r="144" spans="1:26" x14ac:dyDescent="0.25">
      <c r="A144" s="9" t="s">
        <v>33</v>
      </c>
      <c r="B144" s="9" t="s">
        <v>30</v>
      </c>
      <c r="C144" s="9">
        <v>8</v>
      </c>
      <c r="D144" s="9">
        <v>0</v>
      </c>
      <c r="E144" s="9">
        <v>0</v>
      </c>
      <c r="F144" s="9">
        <v>0</v>
      </c>
      <c r="G144" s="9">
        <v>4</v>
      </c>
      <c r="H144" s="9">
        <v>0</v>
      </c>
      <c r="I144" s="9">
        <v>0</v>
      </c>
      <c r="J144" s="9">
        <v>4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8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32</v>
      </c>
      <c r="X144" s="9">
        <v>0</v>
      </c>
      <c r="Y144" s="9">
        <v>36</v>
      </c>
      <c r="Z144" s="9">
        <v>8</v>
      </c>
    </row>
    <row r="145" spans="1:26" x14ac:dyDescent="0.25">
      <c r="A145" s="9" t="s">
        <v>33</v>
      </c>
      <c r="B145" s="9" t="s">
        <v>30</v>
      </c>
      <c r="C145" s="9">
        <v>0</v>
      </c>
      <c r="D145" s="9">
        <v>0</v>
      </c>
      <c r="E145" s="9">
        <v>0</v>
      </c>
      <c r="F145" s="9">
        <v>0</v>
      </c>
      <c r="G145" s="9">
        <v>4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4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32</v>
      </c>
      <c r="X145" s="9">
        <v>0</v>
      </c>
      <c r="Y145" s="9">
        <v>56</v>
      </c>
      <c r="Z145" s="9">
        <v>4</v>
      </c>
    </row>
    <row r="146" spans="1:26" x14ac:dyDescent="0.25">
      <c r="A146" s="9" t="s">
        <v>33</v>
      </c>
      <c r="B146" s="9" t="s">
        <v>30</v>
      </c>
      <c r="C146" s="9">
        <v>0</v>
      </c>
      <c r="D146" s="9">
        <v>0</v>
      </c>
      <c r="E146" s="9">
        <v>0</v>
      </c>
      <c r="F146" s="9">
        <v>0</v>
      </c>
      <c r="G146" s="9">
        <v>12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4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40</v>
      </c>
      <c r="X146" s="9">
        <v>0</v>
      </c>
      <c r="Y146" s="9">
        <v>40</v>
      </c>
      <c r="Z146" s="9">
        <v>4</v>
      </c>
    </row>
    <row r="147" spans="1:26" x14ac:dyDescent="0.25">
      <c r="A147" s="9" t="s">
        <v>33</v>
      </c>
      <c r="B147" s="9" t="s">
        <v>30</v>
      </c>
      <c r="C147" s="9">
        <v>0</v>
      </c>
      <c r="D147" s="9">
        <v>0</v>
      </c>
      <c r="E147" s="9">
        <v>0</v>
      </c>
      <c r="F147" s="9">
        <v>16</v>
      </c>
      <c r="G147" s="9">
        <v>0</v>
      </c>
      <c r="H147" s="9">
        <v>0</v>
      </c>
      <c r="I147" s="9">
        <v>0</v>
      </c>
      <c r="J147" s="9">
        <v>4</v>
      </c>
      <c r="K147" s="9">
        <v>0</v>
      </c>
      <c r="L147" s="9">
        <v>0</v>
      </c>
      <c r="M147" s="9">
        <v>4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36</v>
      </c>
      <c r="X147" s="9">
        <v>4</v>
      </c>
      <c r="Y147" s="9">
        <v>32</v>
      </c>
      <c r="Z147" s="9">
        <v>4</v>
      </c>
    </row>
    <row r="148" spans="1:26" x14ac:dyDescent="0.25">
      <c r="A148" s="9" t="s">
        <v>33</v>
      </c>
      <c r="B148" s="9" t="s">
        <v>30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8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76</v>
      </c>
      <c r="X148" s="9">
        <v>4</v>
      </c>
      <c r="Y148" s="9">
        <v>12</v>
      </c>
      <c r="Z148" s="9">
        <v>0</v>
      </c>
    </row>
    <row r="149" spans="1:26" x14ac:dyDescent="0.25">
      <c r="A149" s="9" t="s">
        <v>33</v>
      </c>
      <c r="B149" s="9" t="s">
        <v>30</v>
      </c>
      <c r="C149" s="9">
        <v>44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4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20</v>
      </c>
      <c r="X149" s="9">
        <v>4</v>
      </c>
      <c r="Y149" s="9">
        <v>28</v>
      </c>
      <c r="Z149" s="9">
        <v>0</v>
      </c>
    </row>
    <row r="150" spans="1:26" x14ac:dyDescent="0.25">
      <c r="A150" s="9" t="s">
        <v>33</v>
      </c>
      <c r="B150" s="9" t="s">
        <v>30</v>
      </c>
      <c r="C150" s="9">
        <v>0</v>
      </c>
      <c r="D150" s="9">
        <v>0</v>
      </c>
      <c r="E150" s="9">
        <v>0</v>
      </c>
      <c r="F150" s="9">
        <v>40</v>
      </c>
      <c r="G150" s="9">
        <v>0</v>
      </c>
      <c r="H150" s="9">
        <v>0</v>
      </c>
      <c r="I150" s="9">
        <v>0</v>
      </c>
      <c r="J150" s="9">
        <v>8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12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28</v>
      </c>
      <c r="X150" s="9">
        <v>0</v>
      </c>
      <c r="Y150" s="9">
        <v>12</v>
      </c>
      <c r="Z150" s="9">
        <v>0</v>
      </c>
    </row>
    <row r="151" spans="1:26" x14ac:dyDescent="0.25">
      <c r="A151" s="9" t="s">
        <v>33</v>
      </c>
      <c r="B151" s="9" t="s">
        <v>30</v>
      </c>
      <c r="C151" s="9">
        <v>0</v>
      </c>
      <c r="D151" s="9">
        <v>0</v>
      </c>
      <c r="E151" s="9">
        <v>16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8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8</v>
      </c>
      <c r="X151" s="9">
        <v>0</v>
      </c>
      <c r="Y151" s="9">
        <v>68</v>
      </c>
      <c r="Z151" s="9">
        <v>0</v>
      </c>
    </row>
    <row r="152" spans="1:26" x14ac:dyDescent="0.25">
      <c r="A152" s="9" t="s">
        <v>33</v>
      </c>
      <c r="B152" s="9" t="s">
        <v>31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16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84</v>
      </c>
      <c r="Z152" s="9">
        <v>0</v>
      </c>
    </row>
    <row r="153" spans="1:26" x14ac:dyDescent="0.25">
      <c r="A153" s="9" t="s">
        <v>33</v>
      </c>
      <c r="B153" s="9" t="s">
        <v>31</v>
      </c>
      <c r="C153" s="9">
        <v>20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4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12</v>
      </c>
      <c r="X153" s="9">
        <v>0</v>
      </c>
      <c r="Y153" s="9">
        <v>64</v>
      </c>
      <c r="Z153" s="9">
        <v>0</v>
      </c>
    </row>
    <row r="154" spans="1:26" x14ac:dyDescent="0.25">
      <c r="A154" s="9" t="s">
        <v>33</v>
      </c>
      <c r="B154" s="9" t="s">
        <v>31</v>
      </c>
      <c r="C154" s="9">
        <v>0</v>
      </c>
      <c r="D154" s="9">
        <v>0</v>
      </c>
      <c r="E154" s="9">
        <v>0</v>
      </c>
      <c r="F154" s="9">
        <v>8</v>
      </c>
      <c r="G154" s="9">
        <v>0</v>
      </c>
      <c r="H154" s="9">
        <v>0</v>
      </c>
      <c r="I154" s="9">
        <v>0</v>
      </c>
      <c r="J154" s="9">
        <v>8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4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32</v>
      </c>
      <c r="X154" s="9">
        <v>0</v>
      </c>
      <c r="Y154" s="9">
        <v>48</v>
      </c>
      <c r="Z154" s="9">
        <v>0</v>
      </c>
    </row>
    <row r="155" spans="1:26" x14ac:dyDescent="0.25">
      <c r="A155" s="9" t="s">
        <v>33</v>
      </c>
      <c r="B155" s="9" t="s">
        <v>31</v>
      </c>
      <c r="C155" s="9">
        <v>0</v>
      </c>
      <c r="D155" s="9">
        <v>0</v>
      </c>
      <c r="E155" s="9">
        <v>0</v>
      </c>
      <c r="F155" s="9">
        <v>64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20</v>
      </c>
      <c r="X155" s="9">
        <v>0</v>
      </c>
      <c r="Y155" s="9">
        <v>16</v>
      </c>
      <c r="Z155" s="9">
        <v>0</v>
      </c>
    </row>
    <row r="156" spans="1:26" x14ac:dyDescent="0.25">
      <c r="A156" s="9" t="s">
        <v>33</v>
      </c>
      <c r="B156" s="9" t="s">
        <v>31</v>
      </c>
      <c r="C156" s="9">
        <v>56</v>
      </c>
      <c r="D156" s="9">
        <v>0</v>
      </c>
      <c r="E156" s="9">
        <v>16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4</v>
      </c>
      <c r="X156" s="9">
        <v>0</v>
      </c>
      <c r="Y156" s="9">
        <v>24</v>
      </c>
      <c r="Z156" s="9">
        <v>0</v>
      </c>
    </row>
    <row r="157" spans="1:26" x14ac:dyDescent="0.25">
      <c r="A157" s="9" t="s">
        <v>33</v>
      </c>
      <c r="B157" s="9" t="s">
        <v>31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40</v>
      </c>
      <c r="X157" s="9">
        <v>0</v>
      </c>
      <c r="Y157" s="9">
        <v>56</v>
      </c>
      <c r="Z157" s="9">
        <v>4</v>
      </c>
    </row>
    <row r="158" spans="1:26" x14ac:dyDescent="0.25">
      <c r="A158" s="9" t="s">
        <v>33</v>
      </c>
      <c r="B158" s="9" t="s">
        <v>31</v>
      </c>
      <c r="C158" s="9">
        <v>0</v>
      </c>
      <c r="D158" s="9">
        <v>0</v>
      </c>
      <c r="E158" s="9">
        <v>8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32</v>
      </c>
      <c r="X158" s="9">
        <v>8</v>
      </c>
      <c r="Y158" s="9">
        <v>52</v>
      </c>
      <c r="Z158" s="9">
        <v>0</v>
      </c>
    </row>
    <row r="159" spans="1:26" x14ac:dyDescent="0.25">
      <c r="A159" s="9" t="s">
        <v>33</v>
      </c>
      <c r="B159" s="9" t="s">
        <v>31</v>
      </c>
      <c r="C159" s="9">
        <v>0</v>
      </c>
      <c r="D159" s="9">
        <v>0</v>
      </c>
      <c r="E159" s="9">
        <v>52</v>
      </c>
      <c r="F159" s="9">
        <v>0</v>
      </c>
      <c r="G159" s="9">
        <v>0</v>
      </c>
      <c r="H159" s="9">
        <v>0</v>
      </c>
      <c r="I159" s="9">
        <v>0</v>
      </c>
      <c r="J159" s="9">
        <v>4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24</v>
      </c>
      <c r="X159" s="9">
        <v>0</v>
      </c>
      <c r="Y159" s="9">
        <v>20</v>
      </c>
      <c r="Z159" s="9">
        <v>0</v>
      </c>
    </row>
    <row r="160" spans="1:26" x14ac:dyDescent="0.25">
      <c r="A160" s="9" t="s">
        <v>33</v>
      </c>
      <c r="B160" s="9" t="s">
        <v>31</v>
      </c>
      <c r="C160" s="9">
        <v>0</v>
      </c>
      <c r="D160" s="9">
        <v>0</v>
      </c>
      <c r="E160" s="9">
        <v>40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16</v>
      </c>
      <c r="X160" s="9">
        <v>0</v>
      </c>
      <c r="Y160" s="9">
        <v>44</v>
      </c>
      <c r="Z160" s="9">
        <v>0</v>
      </c>
    </row>
    <row r="161" spans="1:26" x14ac:dyDescent="0.25">
      <c r="A161" s="9" t="s">
        <v>33</v>
      </c>
      <c r="B161" s="9" t="s">
        <v>31</v>
      </c>
      <c r="C161" s="9">
        <v>8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52</v>
      </c>
      <c r="X161" s="9">
        <v>0</v>
      </c>
      <c r="Y161" s="9">
        <v>36</v>
      </c>
      <c r="Z161" s="9">
        <v>4</v>
      </c>
    </row>
    <row r="162" spans="1:26" x14ac:dyDescent="0.25">
      <c r="A162" s="9" t="s">
        <v>33</v>
      </c>
      <c r="B162" s="9" t="s">
        <v>31</v>
      </c>
      <c r="C162" s="9">
        <v>0</v>
      </c>
      <c r="D162" s="9">
        <v>76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4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4</v>
      </c>
      <c r="X162" s="9">
        <v>0</v>
      </c>
      <c r="Y162" s="9">
        <v>16</v>
      </c>
      <c r="Z162" s="9">
        <v>0</v>
      </c>
    </row>
    <row r="163" spans="1:26" x14ac:dyDescent="0.25">
      <c r="A163" s="9" t="s">
        <v>33</v>
      </c>
      <c r="B163" s="9" t="s">
        <v>31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4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4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24</v>
      </c>
      <c r="X163" s="9">
        <v>0</v>
      </c>
      <c r="Y163" s="9">
        <v>68</v>
      </c>
      <c r="Z163" s="9">
        <v>0</v>
      </c>
    </row>
    <row r="164" spans="1:26" x14ac:dyDescent="0.25">
      <c r="A164" s="9" t="s">
        <v>33</v>
      </c>
      <c r="B164" s="9" t="s">
        <v>31</v>
      </c>
      <c r="C164" s="9">
        <v>20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8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20</v>
      </c>
      <c r="X164" s="9">
        <v>0</v>
      </c>
      <c r="Y164" s="9">
        <v>52</v>
      </c>
      <c r="Z164" s="9">
        <v>0</v>
      </c>
    </row>
    <row r="165" spans="1:26" x14ac:dyDescent="0.25">
      <c r="A165" s="9" t="s">
        <v>33</v>
      </c>
      <c r="B165" s="9" t="s">
        <v>31</v>
      </c>
      <c r="C165" s="9">
        <v>40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4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32</v>
      </c>
      <c r="X165" s="9">
        <v>0</v>
      </c>
      <c r="Y165" s="9">
        <v>24</v>
      </c>
      <c r="Z165" s="9">
        <v>0</v>
      </c>
    </row>
    <row r="166" spans="1:26" x14ac:dyDescent="0.25">
      <c r="A166" s="9" t="s">
        <v>33</v>
      </c>
      <c r="B166" s="9" t="s">
        <v>31</v>
      </c>
      <c r="C166" s="9">
        <v>0</v>
      </c>
      <c r="D166" s="9">
        <v>0</v>
      </c>
      <c r="E166" s="9">
        <v>8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4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88</v>
      </c>
      <c r="Z166" s="9">
        <v>0</v>
      </c>
    </row>
    <row r="167" spans="1:26" x14ac:dyDescent="0.25">
      <c r="A167" s="9" t="s">
        <v>33</v>
      </c>
      <c r="B167" s="9" t="s">
        <v>32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100</v>
      </c>
      <c r="Z167" s="9">
        <v>0</v>
      </c>
    </row>
    <row r="168" spans="1:26" x14ac:dyDescent="0.25">
      <c r="A168" s="9" t="s">
        <v>33</v>
      </c>
      <c r="B168" s="9" t="s">
        <v>32</v>
      </c>
      <c r="C168" s="9">
        <v>0</v>
      </c>
      <c r="D168" s="9">
        <v>0</v>
      </c>
      <c r="E168" s="9">
        <v>4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20</v>
      </c>
      <c r="X168" s="9">
        <v>0</v>
      </c>
      <c r="Y168" s="9">
        <v>76</v>
      </c>
      <c r="Z168" s="9">
        <v>0</v>
      </c>
    </row>
    <row r="169" spans="1:26" x14ac:dyDescent="0.25">
      <c r="A169" s="9" t="s">
        <v>33</v>
      </c>
      <c r="B169" s="9" t="s">
        <v>32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12</v>
      </c>
      <c r="X169" s="9">
        <v>0</v>
      </c>
      <c r="Y169" s="9">
        <v>88</v>
      </c>
      <c r="Z169" s="9">
        <v>0</v>
      </c>
    </row>
    <row r="170" spans="1:26" x14ac:dyDescent="0.25">
      <c r="A170" s="9" t="s">
        <v>33</v>
      </c>
      <c r="B170" s="9" t="s">
        <v>32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16</v>
      </c>
      <c r="X170" s="9">
        <v>0</v>
      </c>
      <c r="Y170" s="9">
        <v>80</v>
      </c>
      <c r="Z170" s="9">
        <v>4</v>
      </c>
    </row>
    <row r="171" spans="1:26" x14ac:dyDescent="0.25">
      <c r="A171" s="9" t="s">
        <v>33</v>
      </c>
      <c r="B171" s="9" t="s">
        <v>32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4</v>
      </c>
      <c r="N171" s="9">
        <v>4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4</v>
      </c>
      <c r="X171" s="9">
        <v>0</v>
      </c>
      <c r="Y171" s="9">
        <v>88</v>
      </c>
      <c r="Z171" s="9">
        <v>0</v>
      </c>
    </row>
    <row r="172" spans="1:26" x14ac:dyDescent="0.25">
      <c r="A172" s="9" t="s">
        <v>33</v>
      </c>
      <c r="B172" s="9" t="s">
        <v>32</v>
      </c>
      <c r="C172" s="9">
        <v>0</v>
      </c>
      <c r="D172" s="9">
        <v>0</v>
      </c>
      <c r="E172" s="9">
        <v>16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4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4</v>
      </c>
      <c r="X172" s="9">
        <v>0</v>
      </c>
      <c r="Y172" s="9">
        <v>72</v>
      </c>
      <c r="Z172" s="9">
        <v>4</v>
      </c>
    </row>
    <row r="173" spans="1:26" x14ac:dyDescent="0.25">
      <c r="A173" s="9" t="s">
        <v>33</v>
      </c>
      <c r="B173" s="9" t="s">
        <v>32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40</v>
      </c>
      <c r="N173" s="9">
        <v>32</v>
      </c>
      <c r="O173" s="9">
        <v>0</v>
      </c>
      <c r="P173" s="9">
        <v>0</v>
      </c>
      <c r="Q173" s="9">
        <v>4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24</v>
      </c>
      <c r="Z173" s="9">
        <v>0</v>
      </c>
    </row>
    <row r="174" spans="1:26" x14ac:dyDescent="0.25">
      <c r="A174" s="9" t="s">
        <v>33</v>
      </c>
      <c r="B174" s="9" t="s">
        <v>32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72</v>
      </c>
      <c r="N174" s="9">
        <v>4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24</v>
      </c>
      <c r="Z174" s="9">
        <v>0</v>
      </c>
    </row>
    <row r="175" spans="1:26" x14ac:dyDescent="0.25">
      <c r="A175" s="9" t="s">
        <v>33</v>
      </c>
      <c r="B175" s="9" t="s">
        <v>32</v>
      </c>
      <c r="C175" s="9">
        <v>16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4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56</v>
      </c>
      <c r="X175" s="9">
        <v>0</v>
      </c>
      <c r="Y175" s="9">
        <v>24</v>
      </c>
      <c r="Z175" s="9">
        <v>0</v>
      </c>
    </row>
    <row r="176" spans="1:26" x14ac:dyDescent="0.25">
      <c r="A176" s="9" t="s">
        <v>33</v>
      </c>
      <c r="B176" s="9" t="s">
        <v>32</v>
      </c>
      <c r="C176" s="9">
        <v>0</v>
      </c>
      <c r="D176" s="9">
        <v>12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8</v>
      </c>
      <c r="O176" s="9">
        <v>0</v>
      </c>
      <c r="P176" s="9">
        <v>0</v>
      </c>
      <c r="Q176" s="9">
        <v>4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8</v>
      </c>
      <c r="X176" s="9">
        <v>0</v>
      </c>
      <c r="Y176" s="9">
        <v>68</v>
      </c>
      <c r="Z176" s="9">
        <v>0</v>
      </c>
    </row>
    <row r="177" spans="1:26" x14ac:dyDescent="0.25">
      <c r="A177" s="9" t="s">
        <v>33</v>
      </c>
      <c r="B177" s="9" t="s">
        <v>32</v>
      </c>
      <c r="C177" s="9">
        <v>0</v>
      </c>
      <c r="D177" s="9">
        <v>40</v>
      </c>
      <c r="E177" s="9">
        <v>8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4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28</v>
      </c>
      <c r="X177" s="9">
        <v>0</v>
      </c>
      <c r="Y177" s="9">
        <v>20</v>
      </c>
      <c r="Z177" s="9">
        <v>0</v>
      </c>
    </row>
    <row r="178" spans="1:26" x14ac:dyDescent="0.25">
      <c r="A178" s="9" t="s">
        <v>33</v>
      </c>
      <c r="B178" s="9" t="s">
        <v>32</v>
      </c>
      <c r="C178" s="9">
        <v>0</v>
      </c>
      <c r="D178" s="9">
        <v>68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8</v>
      </c>
      <c r="K178" s="9">
        <v>0</v>
      </c>
      <c r="L178" s="9">
        <v>0</v>
      </c>
      <c r="M178" s="9">
        <v>4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8</v>
      </c>
      <c r="X178" s="9">
        <v>0</v>
      </c>
      <c r="Y178" s="9">
        <v>12</v>
      </c>
      <c r="Z178" s="9">
        <v>0</v>
      </c>
    </row>
    <row r="179" spans="1:26" x14ac:dyDescent="0.25">
      <c r="A179" s="9" t="s">
        <v>33</v>
      </c>
      <c r="B179" s="9" t="s">
        <v>32</v>
      </c>
      <c r="C179" s="9">
        <v>20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4</v>
      </c>
      <c r="N179" s="9">
        <v>0</v>
      </c>
      <c r="O179" s="9">
        <v>0</v>
      </c>
      <c r="P179" s="9">
        <v>0</v>
      </c>
      <c r="Q179" s="9">
        <v>4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36</v>
      </c>
      <c r="X179" s="9">
        <v>0</v>
      </c>
      <c r="Y179" s="9">
        <v>36</v>
      </c>
      <c r="Z179" s="9">
        <v>0</v>
      </c>
    </row>
    <row r="180" spans="1:26" x14ac:dyDescent="0.25">
      <c r="A180" s="9" t="s">
        <v>33</v>
      </c>
      <c r="B180" s="9" t="s">
        <v>32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32</v>
      </c>
      <c r="O180" s="9">
        <v>0</v>
      </c>
      <c r="P180" s="9">
        <v>0</v>
      </c>
      <c r="Q180" s="9">
        <v>4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64</v>
      </c>
      <c r="Z180" s="9">
        <v>0</v>
      </c>
    </row>
    <row r="181" spans="1:26" x14ac:dyDescent="0.25">
      <c r="A181" s="9" t="s">
        <v>33</v>
      </c>
      <c r="B181" s="9" t="s">
        <v>32</v>
      </c>
      <c r="C181" s="9">
        <v>0</v>
      </c>
      <c r="D181" s="9">
        <v>0</v>
      </c>
      <c r="E181" s="9">
        <v>16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4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80</v>
      </c>
      <c r="Z181" s="9">
        <v>0</v>
      </c>
    </row>
    <row r="182" spans="1:26" x14ac:dyDescent="0.25">
      <c r="A182" s="9" t="s">
        <v>34</v>
      </c>
      <c r="B182" s="9" t="s">
        <v>27</v>
      </c>
      <c r="C182" s="9">
        <v>0</v>
      </c>
      <c r="D182" s="9">
        <v>0</v>
      </c>
      <c r="E182" s="9">
        <v>12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4</v>
      </c>
      <c r="O182" s="9">
        <v>0</v>
      </c>
      <c r="P182" s="9">
        <v>4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12</v>
      </c>
      <c r="X182" s="9">
        <v>16</v>
      </c>
      <c r="Y182" s="9">
        <v>52</v>
      </c>
      <c r="Z182" s="9">
        <v>0</v>
      </c>
    </row>
    <row r="183" spans="1:26" x14ac:dyDescent="0.25">
      <c r="A183" s="9" t="s">
        <v>34</v>
      </c>
      <c r="B183" s="9" t="s">
        <v>27</v>
      </c>
      <c r="C183" s="9">
        <v>0</v>
      </c>
      <c r="D183" s="9">
        <v>0</v>
      </c>
      <c r="E183" s="9">
        <v>20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4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12</v>
      </c>
      <c r="X183" s="9">
        <v>0</v>
      </c>
      <c r="Y183" s="9">
        <v>64</v>
      </c>
      <c r="Z183" s="9">
        <v>0</v>
      </c>
    </row>
    <row r="184" spans="1:26" x14ac:dyDescent="0.25">
      <c r="A184" s="9" t="s">
        <v>34</v>
      </c>
      <c r="B184" s="9" t="s">
        <v>27</v>
      </c>
      <c r="C184" s="9">
        <v>0</v>
      </c>
      <c r="D184" s="9">
        <v>0</v>
      </c>
      <c r="E184" s="9">
        <v>12</v>
      </c>
      <c r="F184" s="9">
        <v>0</v>
      </c>
      <c r="G184" s="9">
        <v>0</v>
      </c>
      <c r="H184" s="9">
        <v>0</v>
      </c>
      <c r="I184" s="9">
        <v>0</v>
      </c>
      <c r="J184" s="9">
        <v>4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4</v>
      </c>
      <c r="U184" s="9">
        <v>0</v>
      </c>
      <c r="V184" s="9">
        <v>0</v>
      </c>
      <c r="W184" s="9">
        <v>56</v>
      </c>
      <c r="X184" s="9">
        <v>4</v>
      </c>
      <c r="Y184" s="9">
        <v>20</v>
      </c>
      <c r="Z184" s="9">
        <v>0</v>
      </c>
    </row>
    <row r="185" spans="1:26" x14ac:dyDescent="0.25">
      <c r="A185" s="9" t="s">
        <v>34</v>
      </c>
      <c r="B185" s="9" t="s">
        <v>27</v>
      </c>
      <c r="C185" s="9">
        <v>4</v>
      </c>
      <c r="D185" s="9">
        <v>0</v>
      </c>
      <c r="E185" s="9">
        <v>24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8</v>
      </c>
      <c r="X185" s="9">
        <v>0</v>
      </c>
      <c r="Y185" s="9">
        <v>64</v>
      </c>
      <c r="Z185" s="9">
        <v>0</v>
      </c>
    </row>
    <row r="186" spans="1:26" x14ac:dyDescent="0.25">
      <c r="A186" s="9" t="s">
        <v>34</v>
      </c>
      <c r="B186" s="9" t="s">
        <v>27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4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28</v>
      </c>
      <c r="X186" s="9">
        <v>4</v>
      </c>
      <c r="Y186" s="9">
        <v>64</v>
      </c>
      <c r="Z186" s="9">
        <v>0</v>
      </c>
    </row>
    <row r="187" spans="1:26" x14ac:dyDescent="0.25">
      <c r="A187" s="9" t="s">
        <v>34</v>
      </c>
      <c r="B187" s="9" t="s">
        <v>27</v>
      </c>
      <c r="C187" s="9">
        <v>0</v>
      </c>
      <c r="D187" s="9">
        <v>0</v>
      </c>
      <c r="E187" s="9">
        <v>20</v>
      </c>
      <c r="F187" s="9">
        <v>0</v>
      </c>
      <c r="G187" s="9">
        <v>0</v>
      </c>
      <c r="H187" s="9">
        <v>0</v>
      </c>
      <c r="I187" s="9">
        <v>0</v>
      </c>
      <c r="J187" s="9">
        <v>16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28</v>
      </c>
      <c r="X187" s="9">
        <v>0</v>
      </c>
      <c r="Y187" s="9">
        <v>36</v>
      </c>
      <c r="Z187" s="9">
        <v>0</v>
      </c>
    </row>
    <row r="188" spans="1:26" x14ac:dyDescent="0.25">
      <c r="A188" s="9" t="s">
        <v>34</v>
      </c>
      <c r="B188" s="9" t="s">
        <v>27</v>
      </c>
      <c r="C188" s="9">
        <v>0</v>
      </c>
      <c r="D188" s="9">
        <v>0</v>
      </c>
      <c r="E188" s="9">
        <v>16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16</v>
      </c>
      <c r="X188" s="9">
        <v>0</v>
      </c>
      <c r="Y188" s="9">
        <v>60</v>
      </c>
      <c r="Z188" s="9">
        <v>8</v>
      </c>
    </row>
    <row r="189" spans="1:26" x14ac:dyDescent="0.25">
      <c r="A189" s="9" t="s">
        <v>34</v>
      </c>
      <c r="B189" s="9" t="s">
        <v>27</v>
      </c>
      <c r="C189" s="9">
        <v>0</v>
      </c>
      <c r="D189" s="9">
        <v>0</v>
      </c>
      <c r="E189" s="9">
        <v>8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92</v>
      </c>
      <c r="Z189" s="9">
        <v>0</v>
      </c>
    </row>
    <row r="190" spans="1:26" x14ac:dyDescent="0.25">
      <c r="A190" s="9" t="s">
        <v>34</v>
      </c>
      <c r="B190" s="9" t="s">
        <v>27</v>
      </c>
      <c r="C190" s="9">
        <v>0</v>
      </c>
      <c r="D190" s="9">
        <v>0</v>
      </c>
      <c r="E190" s="9">
        <v>28</v>
      </c>
      <c r="F190" s="9">
        <v>0</v>
      </c>
      <c r="G190" s="9">
        <v>0</v>
      </c>
      <c r="H190" s="9">
        <v>0</v>
      </c>
      <c r="I190" s="9">
        <v>0</v>
      </c>
      <c r="J190" s="9">
        <v>4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4</v>
      </c>
      <c r="X190" s="9">
        <v>0</v>
      </c>
      <c r="Y190" s="9">
        <v>64</v>
      </c>
      <c r="Z190" s="9">
        <v>0</v>
      </c>
    </row>
    <row r="191" spans="1:26" x14ac:dyDescent="0.25">
      <c r="A191" s="9" t="s">
        <v>34</v>
      </c>
      <c r="B191" s="9" t="s">
        <v>27</v>
      </c>
      <c r="C191" s="9">
        <v>0</v>
      </c>
      <c r="D191" s="9">
        <v>0</v>
      </c>
      <c r="E191" s="9">
        <v>12</v>
      </c>
      <c r="F191" s="9">
        <v>0</v>
      </c>
      <c r="G191" s="9">
        <v>0</v>
      </c>
      <c r="H191" s="9">
        <v>0</v>
      </c>
      <c r="I191" s="9">
        <v>0</v>
      </c>
      <c r="J191" s="9">
        <v>4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28</v>
      </c>
      <c r="X191" s="9">
        <v>0</v>
      </c>
      <c r="Y191" s="9">
        <v>48</v>
      </c>
      <c r="Z191" s="9">
        <v>8</v>
      </c>
    </row>
    <row r="192" spans="1:26" x14ac:dyDescent="0.25">
      <c r="A192" s="9" t="s">
        <v>34</v>
      </c>
      <c r="B192" s="9" t="s">
        <v>27</v>
      </c>
      <c r="C192" s="9">
        <v>0</v>
      </c>
      <c r="D192" s="9">
        <v>0</v>
      </c>
      <c r="E192" s="9">
        <v>24</v>
      </c>
      <c r="F192" s="9">
        <v>0</v>
      </c>
      <c r="G192" s="9">
        <v>0</v>
      </c>
      <c r="H192" s="9">
        <v>0</v>
      </c>
      <c r="I192" s="9">
        <v>0</v>
      </c>
      <c r="J192" s="9">
        <v>8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8</v>
      </c>
      <c r="X192" s="9">
        <v>0</v>
      </c>
      <c r="Y192" s="9">
        <v>56</v>
      </c>
      <c r="Z192" s="9">
        <v>4</v>
      </c>
    </row>
    <row r="193" spans="1:26" x14ac:dyDescent="0.25">
      <c r="A193" s="9" t="s">
        <v>34</v>
      </c>
      <c r="B193" s="9" t="s">
        <v>27</v>
      </c>
      <c r="C193" s="9">
        <v>0</v>
      </c>
      <c r="D193" s="9">
        <v>0</v>
      </c>
      <c r="E193" s="9">
        <v>40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60</v>
      </c>
      <c r="Z193" s="9">
        <v>0</v>
      </c>
    </row>
    <row r="194" spans="1:26" x14ac:dyDescent="0.25">
      <c r="A194" s="9" t="s">
        <v>34</v>
      </c>
      <c r="B194" s="9" t="s">
        <v>27</v>
      </c>
      <c r="C194" s="9">
        <v>0</v>
      </c>
      <c r="D194" s="9">
        <v>0</v>
      </c>
      <c r="E194" s="9">
        <v>16</v>
      </c>
      <c r="F194" s="9">
        <v>0</v>
      </c>
      <c r="G194" s="9">
        <v>0</v>
      </c>
      <c r="H194" s="9">
        <v>0</v>
      </c>
      <c r="I194" s="9">
        <v>0</v>
      </c>
      <c r="J194" s="9">
        <v>8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32</v>
      </c>
      <c r="X194" s="9">
        <v>4</v>
      </c>
      <c r="Y194" s="9">
        <v>36</v>
      </c>
      <c r="Z194" s="9">
        <v>4</v>
      </c>
    </row>
    <row r="195" spans="1:26" x14ac:dyDescent="0.25">
      <c r="A195" s="9" t="s">
        <v>34</v>
      </c>
      <c r="B195" s="9" t="s">
        <v>27</v>
      </c>
      <c r="C195" s="9">
        <v>0</v>
      </c>
      <c r="D195" s="9">
        <v>0</v>
      </c>
      <c r="E195" s="9">
        <v>20</v>
      </c>
      <c r="F195" s="9">
        <v>0</v>
      </c>
      <c r="G195" s="9">
        <v>0</v>
      </c>
      <c r="H195" s="9">
        <v>0</v>
      </c>
      <c r="I195" s="9">
        <v>0</v>
      </c>
      <c r="J195" s="9">
        <v>4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4</v>
      </c>
      <c r="T195" s="9">
        <v>0</v>
      </c>
      <c r="U195" s="9">
        <v>0</v>
      </c>
      <c r="V195" s="9">
        <v>0</v>
      </c>
      <c r="W195" s="9">
        <v>16</v>
      </c>
      <c r="X195" s="9">
        <v>0</v>
      </c>
      <c r="Y195" s="9">
        <v>56</v>
      </c>
      <c r="Z195" s="9">
        <v>0</v>
      </c>
    </row>
    <row r="196" spans="1:26" x14ac:dyDescent="0.25">
      <c r="A196" s="9" t="s">
        <v>34</v>
      </c>
      <c r="B196" s="9" t="s">
        <v>27</v>
      </c>
      <c r="C196" s="9">
        <v>0</v>
      </c>
      <c r="D196" s="9">
        <v>0</v>
      </c>
      <c r="E196" s="9">
        <v>40</v>
      </c>
      <c r="F196" s="9">
        <v>0</v>
      </c>
      <c r="G196" s="9">
        <v>0</v>
      </c>
      <c r="H196" s="9">
        <v>0</v>
      </c>
      <c r="I196" s="9">
        <v>0</v>
      </c>
      <c r="J196" s="9">
        <v>4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8</v>
      </c>
      <c r="X196" s="9">
        <v>0</v>
      </c>
      <c r="Y196" s="9">
        <v>44</v>
      </c>
      <c r="Z196" s="9">
        <v>4</v>
      </c>
    </row>
    <row r="197" spans="1:26" x14ac:dyDescent="0.25">
      <c r="A197" s="9" t="s">
        <v>34</v>
      </c>
      <c r="B197" s="9" t="s">
        <v>28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8</v>
      </c>
      <c r="K197" s="9">
        <v>0</v>
      </c>
      <c r="L197" s="9">
        <v>0</v>
      </c>
      <c r="M197" s="9">
        <v>0</v>
      </c>
      <c r="N197" s="9">
        <v>4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24</v>
      </c>
      <c r="X197" s="9">
        <v>0</v>
      </c>
      <c r="Y197" s="9">
        <v>56</v>
      </c>
      <c r="Z197" s="9">
        <v>8</v>
      </c>
    </row>
    <row r="198" spans="1:26" x14ac:dyDescent="0.25">
      <c r="A198" s="9" t="s">
        <v>34</v>
      </c>
      <c r="B198" s="9" t="s">
        <v>28</v>
      </c>
      <c r="C198" s="9">
        <v>0</v>
      </c>
      <c r="D198" s="9">
        <v>0</v>
      </c>
      <c r="E198" s="9">
        <v>12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4</v>
      </c>
      <c r="U198" s="9">
        <v>0</v>
      </c>
      <c r="V198" s="9">
        <v>0</v>
      </c>
      <c r="W198" s="9">
        <v>44</v>
      </c>
      <c r="X198" s="9">
        <v>0</v>
      </c>
      <c r="Y198" s="9">
        <v>40</v>
      </c>
      <c r="Z198" s="9">
        <v>0</v>
      </c>
    </row>
    <row r="199" spans="1:26" x14ac:dyDescent="0.25">
      <c r="A199" s="9" t="s">
        <v>34</v>
      </c>
      <c r="B199" s="9" t="s">
        <v>28</v>
      </c>
      <c r="C199" s="9">
        <v>0</v>
      </c>
      <c r="D199" s="9">
        <v>0</v>
      </c>
      <c r="E199" s="9">
        <v>8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8</v>
      </c>
      <c r="X199" s="9">
        <v>0</v>
      </c>
      <c r="Y199" s="9">
        <v>84</v>
      </c>
      <c r="Z199" s="9">
        <v>0</v>
      </c>
    </row>
    <row r="200" spans="1:26" x14ac:dyDescent="0.25">
      <c r="A200" s="9" t="s">
        <v>34</v>
      </c>
      <c r="B200" s="9" t="s">
        <v>28</v>
      </c>
      <c r="C200" s="9">
        <v>20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4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4</v>
      </c>
      <c r="U200" s="9">
        <v>0</v>
      </c>
      <c r="V200" s="9">
        <v>0</v>
      </c>
      <c r="W200" s="9">
        <v>0</v>
      </c>
      <c r="X200" s="9">
        <v>0</v>
      </c>
      <c r="Y200" s="9">
        <v>68</v>
      </c>
      <c r="Z200" s="9">
        <v>4</v>
      </c>
    </row>
    <row r="201" spans="1:26" x14ac:dyDescent="0.25">
      <c r="A201" s="9" t="s">
        <v>34</v>
      </c>
      <c r="B201" s="9" t="s">
        <v>28</v>
      </c>
      <c r="C201" s="9">
        <v>8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4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52</v>
      </c>
      <c r="X201" s="9">
        <v>8</v>
      </c>
      <c r="Y201" s="9">
        <v>28</v>
      </c>
      <c r="Z201" s="9">
        <v>0</v>
      </c>
    </row>
    <row r="202" spans="1:26" x14ac:dyDescent="0.25">
      <c r="A202" s="9" t="s">
        <v>34</v>
      </c>
      <c r="B202" s="9" t="s">
        <v>28</v>
      </c>
      <c r="C202" s="9">
        <v>0</v>
      </c>
      <c r="D202" s="9">
        <v>0</v>
      </c>
      <c r="E202" s="9">
        <v>0</v>
      </c>
      <c r="F202" s="9">
        <v>0</v>
      </c>
      <c r="G202" s="9">
        <v>8</v>
      </c>
      <c r="H202" s="9">
        <v>0</v>
      </c>
      <c r="I202" s="9">
        <v>0</v>
      </c>
      <c r="J202" s="9">
        <v>4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24</v>
      </c>
      <c r="X202" s="9">
        <v>0</v>
      </c>
      <c r="Y202" s="9">
        <v>64</v>
      </c>
      <c r="Z202" s="9">
        <v>0</v>
      </c>
    </row>
    <row r="203" spans="1:26" x14ac:dyDescent="0.25">
      <c r="A203" s="9" t="s">
        <v>34</v>
      </c>
      <c r="B203" s="9" t="s">
        <v>28</v>
      </c>
      <c r="C203" s="9">
        <v>0</v>
      </c>
      <c r="D203" s="9">
        <v>0</v>
      </c>
      <c r="E203" s="9">
        <v>0</v>
      </c>
      <c r="F203" s="9">
        <v>8</v>
      </c>
      <c r="G203" s="9">
        <v>0</v>
      </c>
      <c r="H203" s="9">
        <v>0</v>
      </c>
      <c r="I203" s="9">
        <v>0</v>
      </c>
      <c r="J203" s="9">
        <v>4</v>
      </c>
      <c r="K203" s="9">
        <v>0</v>
      </c>
      <c r="L203" s="9">
        <v>0</v>
      </c>
      <c r="M203" s="9">
        <v>4</v>
      </c>
      <c r="N203" s="9">
        <v>12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24</v>
      </c>
      <c r="X203" s="9">
        <v>4</v>
      </c>
      <c r="Y203" s="9">
        <v>36</v>
      </c>
      <c r="Z203" s="9">
        <v>8</v>
      </c>
    </row>
    <row r="204" spans="1:26" x14ac:dyDescent="0.25">
      <c r="A204" s="9" t="s">
        <v>34</v>
      </c>
      <c r="B204" s="9" t="s">
        <v>28</v>
      </c>
      <c r="C204" s="9">
        <v>0</v>
      </c>
      <c r="D204" s="9">
        <v>0</v>
      </c>
      <c r="E204" s="9">
        <v>40</v>
      </c>
      <c r="F204" s="9">
        <v>0</v>
      </c>
      <c r="G204" s="9">
        <v>0</v>
      </c>
      <c r="H204" s="9">
        <v>0</v>
      </c>
      <c r="I204" s="9">
        <v>0</v>
      </c>
      <c r="J204" s="9">
        <v>8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12</v>
      </c>
      <c r="X204" s="9">
        <v>4</v>
      </c>
      <c r="Y204" s="9">
        <v>36</v>
      </c>
      <c r="Z204" s="9">
        <v>0</v>
      </c>
    </row>
    <row r="205" spans="1:26" x14ac:dyDescent="0.25">
      <c r="A205" s="9" t="s">
        <v>34</v>
      </c>
      <c r="B205" s="9" t="s">
        <v>28</v>
      </c>
      <c r="C205" s="9">
        <v>0</v>
      </c>
      <c r="D205" s="9">
        <v>0</v>
      </c>
      <c r="E205" s="9">
        <v>28</v>
      </c>
      <c r="F205" s="9">
        <v>0</v>
      </c>
      <c r="G205" s="9">
        <v>0</v>
      </c>
      <c r="H205" s="9">
        <v>0</v>
      </c>
      <c r="I205" s="9">
        <v>0</v>
      </c>
      <c r="J205" s="9">
        <v>8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44</v>
      </c>
      <c r="X205" s="9">
        <v>4</v>
      </c>
      <c r="Y205" s="9">
        <v>16</v>
      </c>
      <c r="Z205" s="9">
        <v>0</v>
      </c>
    </row>
    <row r="206" spans="1:26" x14ac:dyDescent="0.25">
      <c r="A206" s="9" t="s">
        <v>34</v>
      </c>
      <c r="B206" s="9" t="s">
        <v>28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4</v>
      </c>
      <c r="K206" s="9">
        <v>0</v>
      </c>
      <c r="L206" s="9">
        <v>0</v>
      </c>
      <c r="M206" s="9">
        <v>8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12</v>
      </c>
      <c r="X206" s="9">
        <v>0</v>
      </c>
      <c r="Y206" s="9">
        <v>72</v>
      </c>
      <c r="Z206" s="9">
        <v>4</v>
      </c>
    </row>
    <row r="207" spans="1:26" x14ac:dyDescent="0.25">
      <c r="A207" s="9" t="s">
        <v>34</v>
      </c>
      <c r="B207" s="9" t="s">
        <v>28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12</v>
      </c>
      <c r="N207" s="9">
        <v>0</v>
      </c>
      <c r="O207" s="9">
        <v>0</v>
      </c>
      <c r="P207" s="9">
        <v>4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8</v>
      </c>
      <c r="X207" s="9">
        <v>12</v>
      </c>
      <c r="Y207" s="9">
        <v>56</v>
      </c>
      <c r="Z207" s="9">
        <v>8</v>
      </c>
    </row>
    <row r="208" spans="1:26" x14ac:dyDescent="0.25">
      <c r="A208" s="9" t="s">
        <v>34</v>
      </c>
      <c r="B208" s="9" t="s">
        <v>28</v>
      </c>
      <c r="C208" s="9">
        <v>0</v>
      </c>
      <c r="D208" s="9">
        <v>0</v>
      </c>
      <c r="E208" s="9">
        <v>12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20</v>
      </c>
      <c r="X208" s="9">
        <v>0</v>
      </c>
      <c r="Y208" s="9">
        <v>60</v>
      </c>
      <c r="Z208" s="9">
        <v>8</v>
      </c>
    </row>
    <row r="209" spans="1:26" x14ac:dyDescent="0.25">
      <c r="A209" s="9" t="s">
        <v>34</v>
      </c>
      <c r="B209" s="9" t="s">
        <v>28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4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32</v>
      </c>
      <c r="X209" s="9">
        <v>24</v>
      </c>
      <c r="Y209" s="9">
        <v>36</v>
      </c>
      <c r="Z209" s="9">
        <v>4</v>
      </c>
    </row>
    <row r="210" spans="1:26" x14ac:dyDescent="0.25">
      <c r="A210" s="9" t="s">
        <v>34</v>
      </c>
      <c r="B210" s="9" t="s">
        <v>28</v>
      </c>
      <c r="C210" s="9">
        <v>0</v>
      </c>
      <c r="D210" s="9">
        <v>0</v>
      </c>
      <c r="E210" s="9">
        <v>32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4</v>
      </c>
      <c r="U210" s="9">
        <v>0</v>
      </c>
      <c r="V210" s="9">
        <v>0</v>
      </c>
      <c r="W210" s="9">
        <v>8</v>
      </c>
      <c r="X210" s="9">
        <v>12</v>
      </c>
      <c r="Y210" s="9">
        <v>44</v>
      </c>
      <c r="Z210" s="9">
        <v>0</v>
      </c>
    </row>
    <row r="211" spans="1:26" x14ac:dyDescent="0.25">
      <c r="A211" s="9" t="s">
        <v>34</v>
      </c>
      <c r="B211" s="9" t="s">
        <v>28</v>
      </c>
      <c r="C211" s="9">
        <v>64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12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24</v>
      </c>
      <c r="Z211" s="9">
        <v>0</v>
      </c>
    </row>
    <row r="212" spans="1:26" x14ac:dyDescent="0.25">
      <c r="A212" s="9" t="s">
        <v>34</v>
      </c>
      <c r="B212" s="9" t="s">
        <v>29</v>
      </c>
      <c r="C212" s="9">
        <v>0</v>
      </c>
      <c r="D212" s="9">
        <v>0</v>
      </c>
      <c r="E212" s="9">
        <v>28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8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28</v>
      </c>
      <c r="X212" s="9">
        <v>0</v>
      </c>
      <c r="Y212" s="9">
        <v>36</v>
      </c>
      <c r="Z212" s="9">
        <v>0</v>
      </c>
    </row>
    <row r="213" spans="1:26" x14ac:dyDescent="0.25">
      <c r="A213" s="9" t="s">
        <v>34</v>
      </c>
      <c r="B213" s="9" t="s">
        <v>29</v>
      </c>
      <c r="C213" s="9">
        <v>0</v>
      </c>
      <c r="D213" s="9">
        <v>0</v>
      </c>
      <c r="E213" s="9">
        <v>4</v>
      </c>
      <c r="F213" s="9">
        <v>8</v>
      </c>
      <c r="G213" s="9">
        <v>0</v>
      </c>
      <c r="H213" s="9">
        <v>0</v>
      </c>
      <c r="I213" s="9">
        <v>0</v>
      </c>
      <c r="J213" s="9">
        <v>4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40</v>
      </c>
      <c r="X213" s="9">
        <v>0</v>
      </c>
      <c r="Y213" s="9">
        <v>44</v>
      </c>
      <c r="Z213" s="9">
        <v>0</v>
      </c>
    </row>
    <row r="214" spans="1:26" x14ac:dyDescent="0.25">
      <c r="A214" s="9" t="s">
        <v>34</v>
      </c>
      <c r="B214" s="9" t="s">
        <v>29</v>
      </c>
      <c r="C214" s="9">
        <v>0</v>
      </c>
      <c r="D214" s="9">
        <v>0</v>
      </c>
      <c r="E214" s="9">
        <v>0</v>
      </c>
      <c r="F214" s="9">
        <v>4</v>
      </c>
      <c r="G214" s="9">
        <v>0</v>
      </c>
      <c r="H214" s="9">
        <v>0</v>
      </c>
      <c r="I214" s="9">
        <v>0</v>
      </c>
      <c r="J214" s="9">
        <v>4</v>
      </c>
      <c r="K214" s="9">
        <v>0</v>
      </c>
      <c r="L214" s="9">
        <v>0</v>
      </c>
      <c r="M214" s="9">
        <v>8</v>
      </c>
      <c r="N214" s="9">
        <v>0</v>
      </c>
      <c r="O214" s="9">
        <v>0</v>
      </c>
      <c r="P214" s="9">
        <v>0</v>
      </c>
      <c r="Q214" s="9">
        <v>4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28</v>
      </c>
      <c r="X214" s="9">
        <v>20</v>
      </c>
      <c r="Y214" s="9">
        <v>24</v>
      </c>
      <c r="Z214" s="9">
        <v>8</v>
      </c>
    </row>
    <row r="215" spans="1:26" x14ac:dyDescent="0.25">
      <c r="A215" s="9" t="s">
        <v>34</v>
      </c>
      <c r="B215" s="9" t="s">
        <v>29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20</v>
      </c>
      <c r="T215" s="9">
        <v>0</v>
      </c>
      <c r="U215" s="9">
        <v>0</v>
      </c>
      <c r="V215" s="9">
        <v>0</v>
      </c>
      <c r="W215" s="9">
        <v>16</v>
      </c>
      <c r="X215" s="9">
        <v>12</v>
      </c>
      <c r="Y215" s="9">
        <v>52</v>
      </c>
      <c r="Z215" s="9">
        <v>0</v>
      </c>
    </row>
    <row r="216" spans="1:26" x14ac:dyDescent="0.25">
      <c r="A216" s="9" t="s">
        <v>34</v>
      </c>
      <c r="B216" s="9" t="s">
        <v>29</v>
      </c>
      <c r="C216" s="9">
        <v>0</v>
      </c>
      <c r="D216" s="9">
        <v>0</v>
      </c>
      <c r="E216" s="9">
        <v>20</v>
      </c>
      <c r="F216" s="9">
        <v>0</v>
      </c>
      <c r="G216" s="9">
        <v>0</v>
      </c>
      <c r="H216" s="9">
        <v>0</v>
      </c>
      <c r="I216" s="9">
        <v>0</v>
      </c>
      <c r="J216" s="9">
        <v>8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20</v>
      </c>
      <c r="X216" s="9">
        <v>0</v>
      </c>
      <c r="Y216" s="9">
        <v>52</v>
      </c>
      <c r="Z216" s="9">
        <v>0</v>
      </c>
    </row>
    <row r="217" spans="1:26" x14ac:dyDescent="0.25">
      <c r="A217" s="9" t="s">
        <v>34</v>
      </c>
      <c r="B217" s="9" t="s">
        <v>29</v>
      </c>
      <c r="C217" s="9">
        <v>4</v>
      </c>
      <c r="D217" s="9">
        <v>0</v>
      </c>
      <c r="E217" s="9">
        <v>4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4</v>
      </c>
      <c r="U217" s="9">
        <v>0</v>
      </c>
      <c r="V217" s="9">
        <v>0</v>
      </c>
      <c r="W217" s="9">
        <v>32</v>
      </c>
      <c r="X217" s="9">
        <v>0</v>
      </c>
      <c r="Y217" s="9">
        <v>56</v>
      </c>
      <c r="Z217" s="9">
        <v>0</v>
      </c>
    </row>
    <row r="218" spans="1:26" x14ac:dyDescent="0.25">
      <c r="A218" s="9" t="s">
        <v>34</v>
      </c>
      <c r="B218" s="9" t="s">
        <v>29</v>
      </c>
      <c r="C218" s="9">
        <v>0</v>
      </c>
      <c r="D218" s="9">
        <v>0</v>
      </c>
      <c r="E218" s="9">
        <v>32</v>
      </c>
      <c r="F218" s="9">
        <v>0</v>
      </c>
      <c r="G218" s="9">
        <v>0</v>
      </c>
      <c r="H218" s="9">
        <v>0</v>
      </c>
      <c r="I218" s="9">
        <v>0</v>
      </c>
      <c r="J218" s="9">
        <v>4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44</v>
      </c>
      <c r="X218" s="9">
        <v>4</v>
      </c>
      <c r="Y218" s="9">
        <v>16</v>
      </c>
      <c r="Z218" s="9">
        <v>0</v>
      </c>
    </row>
    <row r="219" spans="1:26" x14ac:dyDescent="0.25">
      <c r="A219" s="9" t="s">
        <v>34</v>
      </c>
      <c r="B219" s="9" t="s">
        <v>29</v>
      </c>
      <c r="C219" s="9">
        <v>0</v>
      </c>
      <c r="D219" s="9">
        <v>0</v>
      </c>
      <c r="E219" s="9">
        <v>0</v>
      </c>
      <c r="F219" s="9">
        <v>8</v>
      </c>
      <c r="G219" s="9">
        <v>0</v>
      </c>
      <c r="H219" s="9">
        <v>0</v>
      </c>
      <c r="I219" s="9">
        <v>0</v>
      </c>
      <c r="J219" s="9">
        <v>4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4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44</v>
      </c>
      <c r="X219" s="9">
        <v>0</v>
      </c>
      <c r="Y219" s="9">
        <v>40</v>
      </c>
      <c r="Z219" s="9">
        <v>0</v>
      </c>
    </row>
    <row r="220" spans="1:26" x14ac:dyDescent="0.25">
      <c r="A220" s="9" t="s">
        <v>34</v>
      </c>
      <c r="B220" s="9" t="s">
        <v>29</v>
      </c>
      <c r="C220" s="9">
        <v>0</v>
      </c>
      <c r="D220" s="9">
        <v>0</v>
      </c>
      <c r="E220" s="9">
        <v>0</v>
      </c>
      <c r="F220" s="9">
        <v>32</v>
      </c>
      <c r="G220" s="9">
        <v>0</v>
      </c>
      <c r="H220" s="9">
        <v>0</v>
      </c>
      <c r="I220" s="9">
        <v>0</v>
      </c>
      <c r="J220" s="9">
        <v>8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28</v>
      </c>
      <c r="X220" s="9">
        <v>4</v>
      </c>
      <c r="Y220" s="9">
        <v>28</v>
      </c>
      <c r="Z220" s="9">
        <v>0</v>
      </c>
    </row>
    <row r="221" spans="1:26" x14ac:dyDescent="0.25">
      <c r="A221" s="9" t="s">
        <v>34</v>
      </c>
      <c r="B221" s="9" t="s">
        <v>29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4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12</v>
      </c>
      <c r="X221" s="9">
        <v>0</v>
      </c>
      <c r="Y221" s="9">
        <v>84</v>
      </c>
      <c r="Z221" s="9">
        <v>0</v>
      </c>
    </row>
    <row r="222" spans="1:26" x14ac:dyDescent="0.25">
      <c r="A222" s="9" t="s">
        <v>34</v>
      </c>
      <c r="B222" s="9" t="s">
        <v>29</v>
      </c>
      <c r="C222" s="9">
        <v>0</v>
      </c>
      <c r="D222" s="9">
        <v>0</v>
      </c>
      <c r="E222" s="9">
        <v>0</v>
      </c>
      <c r="F222" s="9">
        <v>12</v>
      </c>
      <c r="G222" s="9">
        <v>0</v>
      </c>
      <c r="H222" s="9">
        <v>0</v>
      </c>
      <c r="I222" s="9">
        <v>0</v>
      </c>
      <c r="J222" s="9">
        <v>16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32</v>
      </c>
      <c r="X222" s="9">
        <v>12</v>
      </c>
      <c r="Y222" s="9">
        <v>28</v>
      </c>
      <c r="Z222" s="9">
        <v>0</v>
      </c>
    </row>
    <row r="223" spans="1:26" x14ac:dyDescent="0.25">
      <c r="A223" s="9" t="s">
        <v>34</v>
      </c>
      <c r="B223" s="9" t="s">
        <v>29</v>
      </c>
      <c r="C223" s="9">
        <v>0</v>
      </c>
      <c r="D223" s="9">
        <v>0</v>
      </c>
      <c r="E223" s="9">
        <v>20</v>
      </c>
      <c r="F223" s="9">
        <v>0</v>
      </c>
      <c r="G223" s="9">
        <v>0</v>
      </c>
      <c r="H223" s="9">
        <v>0</v>
      </c>
      <c r="I223" s="9">
        <v>0</v>
      </c>
      <c r="J223" s="9">
        <v>4</v>
      </c>
      <c r="K223" s="9">
        <v>0</v>
      </c>
      <c r="L223" s="9">
        <v>0</v>
      </c>
      <c r="M223" s="9">
        <v>0</v>
      </c>
      <c r="N223" s="9">
        <v>8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4</v>
      </c>
      <c r="X223" s="9">
        <v>4</v>
      </c>
      <c r="Y223" s="9">
        <v>60</v>
      </c>
      <c r="Z223" s="9">
        <v>0</v>
      </c>
    </row>
    <row r="224" spans="1:26" x14ac:dyDescent="0.25">
      <c r="A224" s="9" t="s">
        <v>34</v>
      </c>
      <c r="B224" s="9" t="s">
        <v>29</v>
      </c>
      <c r="C224" s="9">
        <v>48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8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4</v>
      </c>
      <c r="Y224" s="9">
        <v>36</v>
      </c>
      <c r="Z224" s="9">
        <v>4</v>
      </c>
    </row>
    <row r="225" spans="1:26" x14ac:dyDescent="0.25">
      <c r="A225" s="9" t="s">
        <v>34</v>
      </c>
      <c r="B225" s="9" t="s">
        <v>29</v>
      </c>
      <c r="C225" s="9">
        <v>20</v>
      </c>
      <c r="D225" s="9">
        <v>0</v>
      </c>
      <c r="E225" s="9">
        <v>28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8</v>
      </c>
      <c r="X225" s="9">
        <v>4</v>
      </c>
      <c r="Y225" s="9">
        <v>40</v>
      </c>
      <c r="Z225" s="9">
        <v>0</v>
      </c>
    </row>
    <row r="226" spans="1:26" x14ac:dyDescent="0.25">
      <c r="A226" s="9" t="s">
        <v>34</v>
      </c>
      <c r="B226" s="9" t="s">
        <v>29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16</v>
      </c>
      <c r="X226" s="9">
        <v>0</v>
      </c>
      <c r="Y226" s="9">
        <v>80</v>
      </c>
      <c r="Z226" s="9">
        <v>4</v>
      </c>
    </row>
    <row r="227" spans="1:26" x14ac:dyDescent="0.25">
      <c r="A227" s="9" t="s">
        <v>34</v>
      </c>
      <c r="B227" s="9" t="s">
        <v>30</v>
      </c>
      <c r="C227" s="9">
        <v>0</v>
      </c>
      <c r="D227" s="9">
        <v>0</v>
      </c>
      <c r="E227" s="9">
        <v>12</v>
      </c>
      <c r="F227" s="9">
        <v>0</v>
      </c>
      <c r="G227" s="9">
        <v>0</v>
      </c>
      <c r="H227" s="9">
        <v>0</v>
      </c>
      <c r="I227" s="9">
        <v>0</v>
      </c>
      <c r="J227" s="9">
        <v>8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12</v>
      </c>
      <c r="X227" s="9">
        <v>8</v>
      </c>
      <c r="Y227" s="9">
        <v>48</v>
      </c>
      <c r="Z227" s="9">
        <v>12</v>
      </c>
    </row>
    <row r="228" spans="1:26" x14ac:dyDescent="0.25">
      <c r="A228" s="9" t="s">
        <v>34</v>
      </c>
      <c r="B228" s="9" t="s">
        <v>30</v>
      </c>
      <c r="C228" s="9">
        <v>0</v>
      </c>
      <c r="D228" s="9">
        <v>0</v>
      </c>
      <c r="E228" s="9">
        <v>20</v>
      </c>
      <c r="F228" s="9">
        <v>0</v>
      </c>
      <c r="G228" s="9">
        <v>0</v>
      </c>
      <c r="H228" s="9">
        <v>0</v>
      </c>
      <c r="I228" s="9">
        <v>0</v>
      </c>
      <c r="J228" s="9">
        <v>36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20</v>
      </c>
      <c r="X228" s="9">
        <v>0</v>
      </c>
      <c r="Y228" s="9">
        <v>20</v>
      </c>
      <c r="Z228" s="9">
        <v>4</v>
      </c>
    </row>
    <row r="229" spans="1:26" x14ac:dyDescent="0.25">
      <c r="A229" s="9" t="s">
        <v>34</v>
      </c>
      <c r="B229" s="9" t="s">
        <v>30</v>
      </c>
      <c r="C229" s="9">
        <v>0</v>
      </c>
      <c r="D229" s="9">
        <v>0</v>
      </c>
      <c r="E229" s="9">
        <v>16</v>
      </c>
      <c r="F229" s="9">
        <v>0</v>
      </c>
      <c r="G229" s="9">
        <v>0</v>
      </c>
      <c r="H229" s="9">
        <v>0</v>
      </c>
      <c r="I229" s="9">
        <v>0</v>
      </c>
      <c r="J229" s="9">
        <v>4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24</v>
      </c>
      <c r="X229" s="9">
        <v>0</v>
      </c>
      <c r="Y229" s="9">
        <v>56</v>
      </c>
      <c r="Z229" s="9">
        <v>0</v>
      </c>
    </row>
    <row r="230" spans="1:26" x14ac:dyDescent="0.25">
      <c r="A230" s="9" t="s">
        <v>34</v>
      </c>
      <c r="B230" s="9" t="s">
        <v>30</v>
      </c>
      <c r="C230" s="9">
        <v>0</v>
      </c>
      <c r="D230" s="9">
        <v>0</v>
      </c>
      <c r="E230" s="9">
        <v>16</v>
      </c>
      <c r="F230" s="9">
        <v>0</v>
      </c>
      <c r="G230" s="9">
        <v>0</v>
      </c>
      <c r="H230" s="9">
        <v>0</v>
      </c>
      <c r="I230" s="9">
        <v>0</v>
      </c>
      <c r="J230" s="9">
        <v>8</v>
      </c>
      <c r="K230" s="9">
        <v>0</v>
      </c>
      <c r="L230" s="9">
        <v>4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48</v>
      </c>
      <c r="X230" s="9">
        <v>0</v>
      </c>
      <c r="Y230" s="9">
        <v>24</v>
      </c>
      <c r="Z230" s="9">
        <v>0</v>
      </c>
    </row>
    <row r="231" spans="1:26" x14ac:dyDescent="0.25">
      <c r="A231" s="9" t="s">
        <v>34</v>
      </c>
      <c r="B231" s="9" t="s">
        <v>30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4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4</v>
      </c>
      <c r="T231" s="9">
        <v>0</v>
      </c>
      <c r="U231" s="9">
        <v>0</v>
      </c>
      <c r="V231" s="9">
        <v>0</v>
      </c>
      <c r="W231" s="9">
        <v>44</v>
      </c>
      <c r="X231" s="9">
        <v>4</v>
      </c>
      <c r="Y231" s="9">
        <v>36</v>
      </c>
      <c r="Z231" s="9">
        <v>8</v>
      </c>
    </row>
    <row r="232" spans="1:26" x14ac:dyDescent="0.25">
      <c r="A232" s="9" t="s">
        <v>34</v>
      </c>
      <c r="B232" s="9" t="s">
        <v>30</v>
      </c>
      <c r="C232" s="9">
        <v>0</v>
      </c>
      <c r="D232" s="9">
        <v>0</v>
      </c>
      <c r="E232" s="9">
        <v>20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4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72</v>
      </c>
      <c r="Z232" s="9">
        <v>4</v>
      </c>
    </row>
    <row r="233" spans="1:26" x14ac:dyDescent="0.25">
      <c r="A233" s="9" t="s">
        <v>34</v>
      </c>
      <c r="B233" s="9" t="s">
        <v>30</v>
      </c>
      <c r="C233" s="9">
        <v>0</v>
      </c>
      <c r="D233" s="9">
        <v>0</v>
      </c>
      <c r="E233" s="9">
        <v>16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8</v>
      </c>
      <c r="R233" s="9">
        <v>0</v>
      </c>
      <c r="S233" s="9">
        <v>36</v>
      </c>
      <c r="T233" s="9">
        <v>0</v>
      </c>
      <c r="U233" s="9">
        <v>0</v>
      </c>
      <c r="V233" s="9">
        <v>0</v>
      </c>
      <c r="W233" s="9">
        <v>12</v>
      </c>
      <c r="X233" s="9">
        <v>12</v>
      </c>
      <c r="Y233" s="9">
        <v>16</v>
      </c>
      <c r="Z233" s="9">
        <v>0</v>
      </c>
    </row>
    <row r="234" spans="1:26" x14ac:dyDescent="0.25">
      <c r="A234" s="9" t="s">
        <v>34</v>
      </c>
      <c r="B234" s="9" t="s">
        <v>30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20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48</v>
      </c>
      <c r="X234" s="9">
        <v>8</v>
      </c>
      <c r="Y234" s="9">
        <v>16</v>
      </c>
      <c r="Z234" s="9">
        <v>8</v>
      </c>
    </row>
    <row r="235" spans="1:26" x14ac:dyDescent="0.25">
      <c r="A235" s="9" t="s">
        <v>34</v>
      </c>
      <c r="B235" s="9" t="s">
        <v>30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4</v>
      </c>
      <c r="K235" s="9">
        <v>0</v>
      </c>
      <c r="L235" s="9">
        <v>0</v>
      </c>
      <c r="M235" s="9">
        <v>0</v>
      </c>
      <c r="N235" s="9">
        <v>4</v>
      </c>
      <c r="O235" s="9">
        <v>0</v>
      </c>
      <c r="P235" s="9">
        <v>0</v>
      </c>
      <c r="Q235" s="9">
        <v>0</v>
      </c>
      <c r="R235" s="9">
        <v>0</v>
      </c>
      <c r="S235" s="9">
        <v>20</v>
      </c>
      <c r="T235" s="9">
        <v>0</v>
      </c>
      <c r="U235" s="9">
        <v>0</v>
      </c>
      <c r="V235" s="9">
        <v>0</v>
      </c>
      <c r="W235" s="9">
        <v>4</v>
      </c>
      <c r="X235" s="9">
        <v>8</v>
      </c>
      <c r="Y235" s="9">
        <v>60</v>
      </c>
      <c r="Z235" s="9">
        <v>0</v>
      </c>
    </row>
    <row r="236" spans="1:26" x14ac:dyDescent="0.25">
      <c r="A236" s="9" t="s">
        <v>34</v>
      </c>
      <c r="B236" s="9" t="s">
        <v>30</v>
      </c>
      <c r="C236" s="9">
        <v>0</v>
      </c>
      <c r="D236" s="9">
        <v>0</v>
      </c>
      <c r="E236" s="9">
        <v>12</v>
      </c>
      <c r="F236" s="9">
        <v>0</v>
      </c>
      <c r="G236" s="9">
        <v>0</v>
      </c>
      <c r="H236" s="9">
        <v>0</v>
      </c>
      <c r="I236" s="9">
        <v>0</v>
      </c>
      <c r="J236" s="9">
        <v>4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28</v>
      </c>
      <c r="X236" s="9">
        <v>0</v>
      </c>
      <c r="Y236" s="9">
        <v>52</v>
      </c>
      <c r="Z236" s="9">
        <v>4</v>
      </c>
    </row>
    <row r="237" spans="1:26" x14ac:dyDescent="0.25">
      <c r="A237" s="9" t="s">
        <v>34</v>
      </c>
      <c r="B237" s="9" t="s">
        <v>30</v>
      </c>
      <c r="C237" s="9">
        <v>0</v>
      </c>
      <c r="D237" s="9">
        <v>0</v>
      </c>
      <c r="E237" s="9">
        <v>20</v>
      </c>
      <c r="F237" s="9">
        <v>0</v>
      </c>
      <c r="G237" s="9">
        <v>0</v>
      </c>
      <c r="H237" s="9">
        <v>0</v>
      </c>
      <c r="I237" s="9">
        <v>0</v>
      </c>
      <c r="J237" s="9">
        <v>12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44</v>
      </c>
      <c r="X237" s="9">
        <v>0</v>
      </c>
      <c r="Y237" s="9">
        <v>20</v>
      </c>
      <c r="Z237" s="9">
        <v>4</v>
      </c>
    </row>
    <row r="238" spans="1:26" x14ac:dyDescent="0.25">
      <c r="A238" s="9" t="s">
        <v>34</v>
      </c>
      <c r="B238" s="9" t="s">
        <v>30</v>
      </c>
      <c r="C238" s="9">
        <v>0</v>
      </c>
      <c r="D238" s="9">
        <v>0</v>
      </c>
      <c r="E238" s="9">
        <v>20</v>
      </c>
      <c r="F238" s="9">
        <v>0</v>
      </c>
      <c r="G238" s="9">
        <v>0</v>
      </c>
      <c r="H238" s="9">
        <v>0</v>
      </c>
      <c r="I238" s="9">
        <v>0</v>
      </c>
      <c r="J238" s="9">
        <v>12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44</v>
      </c>
      <c r="X238" s="9">
        <v>4</v>
      </c>
      <c r="Y238" s="9">
        <v>20</v>
      </c>
      <c r="Z238" s="9">
        <v>0</v>
      </c>
    </row>
    <row r="239" spans="1:26" x14ac:dyDescent="0.25">
      <c r="A239" s="9" t="s">
        <v>34</v>
      </c>
      <c r="B239" s="9" t="s">
        <v>30</v>
      </c>
      <c r="C239" s="9">
        <v>0</v>
      </c>
      <c r="D239" s="9">
        <v>0</v>
      </c>
      <c r="E239" s="9">
        <v>8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4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12</v>
      </c>
      <c r="X239" s="9">
        <v>0</v>
      </c>
      <c r="Y239" s="9">
        <v>76</v>
      </c>
      <c r="Z239" s="9">
        <v>0</v>
      </c>
    </row>
    <row r="240" spans="1:26" x14ac:dyDescent="0.25">
      <c r="A240" s="9" t="s">
        <v>34</v>
      </c>
      <c r="B240" s="9" t="s">
        <v>30</v>
      </c>
      <c r="C240" s="9">
        <v>0</v>
      </c>
      <c r="D240" s="9">
        <v>0</v>
      </c>
      <c r="E240" s="9">
        <v>8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44</v>
      </c>
      <c r="X240" s="9">
        <v>0</v>
      </c>
      <c r="Y240" s="9">
        <v>32</v>
      </c>
      <c r="Z240" s="9">
        <v>16</v>
      </c>
    </row>
    <row r="241" spans="1:26" x14ac:dyDescent="0.25">
      <c r="A241" s="9" t="s">
        <v>34</v>
      </c>
      <c r="B241" s="9" t="s">
        <v>30</v>
      </c>
      <c r="C241" s="9">
        <v>0</v>
      </c>
      <c r="D241" s="9">
        <v>0</v>
      </c>
      <c r="E241" s="9">
        <v>32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4</v>
      </c>
      <c r="O241" s="9">
        <v>0</v>
      </c>
      <c r="P241" s="9">
        <v>0</v>
      </c>
      <c r="Q241" s="9">
        <v>0</v>
      </c>
      <c r="R241" s="9">
        <v>0</v>
      </c>
      <c r="S241" s="9">
        <v>4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60</v>
      </c>
      <c r="Z241" s="9">
        <v>0</v>
      </c>
    </row>
    <row r="242" spans="1:26" x14ac:dyDescent="0.25">
      <c r="A242" s="9" t="s">
        <v>34</v>
      </c>
      <c r="B242" s="9" t="s">
        <v>31</v>
      </c>
      <c r="C242" s="9">
        <v>0</v>
      </c>
      <c r="D242" s="9">
        <v>0</v>
      </c>
      <c r="E242" s="9">
        <v>36</v>
      </c>
      <c r="F242" s="9">
        <v>0</v>
      </c>
      <c r="G242" s="9">
        <v>0</v>
      </c>
      <c r="H242" s="9">
        <v>0</v>
      </c>
      <c r="I242" s="9">
        <v>0</v>
      </c>
      <c r="J242" s="9">
        <v>4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4</v>
      </c>
      <c r="X242" s="9">
        <v>0</v>
      </c>
      <c r="Y242" s="9">
        <v>56</v>
      </c>
      <c r="Z242" s="9">
        <v>0</v>
      </c>
    </row>
    <row r="243" spans="1:26" x14ac:dyDescent="0.25">
      <c r="A243" s="9" t="s">
        <v>34</v>
      </c>
      <c r="B243" s="9" t="s">
        <v>31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4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16</v>
      </c>
      <c r="X243" s="9">
        <v>0</v>
      </c>
      <c r="Y243" s="9">
        <v>80</v>
      </c>
      <c r="Z243" s="9">
        <v>0</v>
      </c>
    </row>
    <row r="244" spans="1:26" x14ac:dyDescent="0.25">
      <c r="A244" s="9" t="s">
        <v>34</v>
      </c>
      <c r="B244" s="9" t="s">
        <v>31</v>
      </c>
      <c r="C244" s="9">
        <v>0</v>
      </c>
      <c r="D244" s="9">
        <v>0</v>
      </c>
      <c r="E244" s="9">
        <v>8</v>
      </c>
      <c r="F244" s="9">
        <v>0</v>
      </c>
      <c r="G244" s="9">
        <v>0</v>
      </c>
      <c r="H244" s="9">
        <v>0</v>
      </c>
      <c r="I244" s="9">
        <v>0</v>
      </c>
      <c r="J244" s="9">
        <v>4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36</v>
      </c>
      <c r="X244" s="9">
        <v>4</v>
      </c>
      <c r="Y244" s="9">
        <v>48</v>
      </c>
      <c r="Z244" s="9">
        <v>0</v>
      </c>
    </row>
    <row r="245" spans="1:26" x14ac:dyDescent="0.25">
      <c r="A245" s="9" t="s">
        <v>34</v>
      </c>
      <c r="B245" s="9" t="s">
        <v>31</v>
      </c>
      <c r="C245" s="9">
        <v>0</v>
      </c>
      <c r="D245" s="9">
        <v>0</v>
      </c>
      <c r="E245" s="9">
        <v>36</v>
      </c>
      <c r="F245" s="9">
        <v>0</v>
      </c>
      <c r="G245" s="9">
        <v>0</v>
      </c>
      <c r="H245" s="9">
        <v>0</v>
      </c>
      <c r="I245" s="9">
        <v>0</v>
      </c>
      <c r="J245" s="9">
        <v>4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48</v>
      </c>
      <c r="X245" s="9">
        <v>4</v>
      </c>
      <c r="Y245" s="9">
        <v>4</v>
      </c>
      <c r="Z245" s="9">
        <v>4</v>
      </c>
    </row>
    <row r="246" spans="1:26" x14ac:dyDescent="0.25">
      <c r="A246" s="9" t="s">
        <v>34</v>
      </c>
      <c r="B246" s="9" t="s">
        <v>31</v>
      </c>
      <c r="C246" s="9">
        <v>0</v>
      </c>
      <c r="D246" s="9">
        <v>0</v>
      </c>
      <c r="E246" s="9">
        <v>8</v>
      </c>
      <c r="F246" s="9">
        <v>0</v>
      </c>
      <c r="G246" s="9">
        <v>0</v>
      </c>
      <c r="H246" s="9">
        <v>0</v>
      </c>
      <c r="I246" s="9">
        <v>0</v>
      </c>
      <c r="J246" s="9">
        <v>8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8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44</v>
      </c>
      <c r="X246" s="9">
        <v>0</v>
      </c>
      <c r="Y246" s="9">
        <v>24</v>
      </c>
      <c r="Z246" s="9">
        <v>8</v>
      </c>
    </row>
    <row r="247" spans="1:26" x14ac:dyDescent="0.25">
      <c r="A247" s="9" t="s">
        <v>34</v>
      </c>
      <c r="B247" s="9" t="s">
        <v>31</v>
      </c>
      <c r="C247" s="9">
        <v>0</v>
      </c>
      <c r="D247" s="9">
        <v>0</v>
      </c>
      <c r="E247" s="9">
        <v>32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48</v>
      </c>
      <c r="X247" s="9">
        <v>8</v>
      </c>
      <c r="Y247" s="9">
        <v>4</v>
      </c>
      <c r="Z247" s="9">
        <v>8</v>
      </c>
    </row>
    <row r="248" spans="1:26" x14ac:dyDescent="0.25">
      <c r="A248" s="9" t="s">
        <v>34</v>
      </c>
      <c r="B248" s="9" t="s">
        <v>31</v>
      </c>
      <c r="C248" s="9">
        <v>0</v>
      </c>
      <c r="D248" s="9">
        <v>0</v>
      </c>
      <c r="E248" s="9">
        <v>52</v>
      </c>
      <c r="F248" s="9">
        <v>0</v>
      </c>
      <c r="G248" s="9">
        <v>0</v>
      </c>
      <c r="H248" s="9">
        <v>0</v>
      </c>
      <c r="I248" s="9">
        <v>0</v>
      </c>
      <c r="J248" s="9">
        <v>4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40</v>
      </c>
      <c r="X248" s="9">
        <v>0</v>
      </c>
      <c r="Y248" s="9">
        <v>4</v>
      </c>
      <c r="Z248" s="9">
        <v>0</v>
      </c>
    </row>
    <row r="249" spans="1:26" x14ac:dyDescent="0.25">
      <c r="A249" s="9" t="s">
        <v>34</v>
      </c>
      <c r="B249" s="9" t="s">
        <v>31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4</v>
      </c>
      <c r="M249" s="9">
        <v>0</v>
      </c>
      <c r="N249" s="9">
        <v>8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88</v>
      </c>
      <c r="Z249" s="9">
        <v>0</v>
      </c>
    </row>
    <row r="250" spans="1:26" x14ac:dyDescent="0.25">
      <c r="A250" s="9" t="s">
        <v>34</v>
      </c>
      <c r="B250" s="9" t="s">
        <v>31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96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4</v>
      </c>
      <c r="Z250" s="9">
        <v>0</v>
      </c>
    </row>
    <row r="251" spans="1:26" x14ac:dyDescent="0.25">
      <c r="A251" s="9" t="s">
        <v>34</v>
      </c>
      <c r="B251" s="9" t="s">
        <v>31</v>
      </c>
      <c r="C251" s="9">
        <v>0</v>
      </c>
      <c r="D251" s="9">
        <v>0</v>
      </c>
      <c r="E251" s="9">
        <v>32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8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32</v>
      </c>
      <c r="X251" s="9">
        <v>4</v>
      </c>
      <c r="Y251" s="9">
        <v>24</v>
      </c>
      <c r="Z251" s="9">
        <v>0</v>
      </c>
    </row>
    <row r="252" spans="1:26" x14ac:dyDescent="0.25">
      <c r="A252" s="9" t="s">
        <v>34</v>
      </c>
      <c r="B252" s="9" t="s">
        <v>31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8</v>
      </c>
      <c r="S252" s="9">
        <v>0</v>
      </c>
      <c r="T252" s="9">
        <v>0</v>
      </c>
      <c r="U252" s="9">
        <v>0</v>
      </c>
      <c r="V252" s="9">
        <v>0</v>
      </c>
      <c r="W252" s="9">
        <v>16</v>
      </c>
      <c r="X252" s="9">
        <v>4</v>
      </c>
      <c r="Y252" s="9">
        <v>72</v>
      </c>
      <c r="Z252" s="9">
        <v>0</v>
      </c>
    </row>
    <row r="253" spans="1:26" x14ac:dyDescent="0.25">
      <c r="A253" s="9" t="s">
        <v>34</v>
      </c>
      <c r="B253" s="9" t="s">
        <v>31</v>
      </c>
      <c r="C253" s="9">
        <v>0</v>
      </c>
      <c r="D253" s="9">
        <v>0</v>
      </c>
      <c r="E253" s="9">
        <v>0</v>
      </c>
      <c r="F253" s="9">
        <v>36</v>
      </c>
      <c r="G253" s="9">
        <v>0</v>
      </c>
      <c r="H253" s="9">
        <v>0</v>
      </c>
      <c r="I253" s="9">
        <v>0</v>
      </c>
      <c r="J253" s="9">
        <v>8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12</v>
      </c>
      <c r="T253" s="9">
        <v>0</v>
      </c>
      <c r="U253" s="9">
        <v>0</v>
      </c>
      <c r="V253" s="9">
        <v>0</v>
      </c>
      <c r="W253" s="9">
        <v>4</v>
      </c>
      <c r="X253" s="9">
        <v>0</v>
      </c>
      <c r="Y253" s="9">
        <v>40</v>
      </c>
      <c r="Z253" s="9">
        <v>0</v>
      </c>
    </row>
    <row r="254" spans="1:26" x14ac:dyDescent="0.25">
      <c r="A254" s="9" t="s">
        <v>34</v>
      </c>
      <c r="B254" s="9" t="s">
        <v>31</v>
      </c>
      <c r="C254" s="9">
        <v>0</v>
      </c>
      <c r="D254" s="9">
        <v>0</v>
      </c>
      <c r="E254" s="9">
        <v>28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4</v>
      </c>
      <c r="N254" s="9">
        <v>4</v>
      </c>
      <c r="O254" s="9">
        <v>0</v>
      </c>
      <c r="P254" s="9">
        <v>4</v>
      </c>
      <c r="Q254" s="9">
        <v>8</v>
      </c>
      <c r="R254" s="9">
        <v>0</v>
      </c>
      <c r="S254" s="9">
        <v>8</v>
      </c>
      <c r="T254" s="9">
        <v>0</v>
      </c>
      <c r="U254" s="9">
        <v>0</v>
      </c>
      <c r="V254" s="9">
        <v>0</v>
      </c>
      <c r="W254" s="9">
        <v>8</v>
      </c>
      <c r="X254" s="9">
        <v>4</v>
      </c>
      <c r="Y254" s="9">
        <v>32</v>
      </c>
      <c r="Z254" s="9">
        <v>0</v>
      </c>
    </row>
    <row r="255" spans="1:26" x14ac:dyDescent="0.25">
      <c r="A255" s="9" t="s">
        <v>34</v>
      </c>
      <c r="B255" s="9" t="s">
        <v>31</v>
      </c>
      <c r="C255" s="9">
        <v>0</v>
      </c>
      <c r="D255" s="9">
        <v>0</v>
      </c>
      <c r="E255" s="9">
        <v>4</v>
      </c>
      <c r="F255" s="9">
        <v>0</v>
      </c>
      <c r="G255" s="9">
        <v>4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8</v>
      </c>
      <c r="X255" s="9">
        <v>0</v>
      </c>
      <c r="Y255" s="9">
        <v>84</v>
      </c>
      <c r="Z255" s="9">
        <v>0</v>
      </c>
    </row>
    <row r="256" spans="1:26" x14ac:dyDescent="0.25">
      <c r="A256" s="9" t="s">
        <v>34</v>
      </c>
      <c r="B256" s="9" t="s">
        <v>31</v>
      </c>
      <c r="C256" s="9">
        <v>0</v>
      </c>
      <c r="D256" s="9">
        <v>0</v>
      </c>
      <c r="E256" s="9">
        <v>0</v>
      </c>
      <c r="F256" s="9">
        <v>0</v>
      </c>
      <c r="G256" s="9">
        <v>4</v>
      </c>
      <c r="H256" s="9">
        <v>0</v>
      </c>
      <c r="I256" s="9">
        <v>0</v>
      </c>
      <c r="J256" s="9">
        <v>4</v>
      </c>
      <c r="K256" s="9">
        <v>0</v>
      </c>
      <c r="L256" s="9">
        <v>0</v>
      </c>
      <c r="M256" s="9">
        <v>8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24</v>
      </c>
      <c r="X256" s="9">
        <v>24</v>
      </c>
      <c r="Y256" s="9">
        <v>32</v>
      </c>
      <c r="Z256" s="9">
        <v>4</v>
      </c>
    </row>
    <row r="257" spans="1:26" x14ac:dyDescent="0.25">
      <c r="A257" s="9" t="s">
        <v>34</v>
      </c>
      <c r="B257" s="9" t="s">
        <v>32</v>
      </c>
      <c r="C257" s="9">
        <v>0</v>
      </c>
      <c r="D257" s="9">
        <v>0</v>
      </c>
      <c r="E257" s="9">
        <v>8</v>
      </c>
      <c r="F257" s="9">
        <v>0</v>
      </c>
      <c r="G257" s="9">
        <v>0</v>
      </c>
      <c r="H257" s="9">
        <v>0</v>
      </c>
      <c r="I257" s="9">
        <v>0</v>
      </c>
      <c r="J257" s="9">
        <v>12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64</v>
      </c>
      <c r="X257" s="9">
        <v>0</v>
      </c>
      <c r="Y257" s="9">
        <v>4</v>
      </c>
      <c r="Z257" s="9">
        <v>12</v>
      </c>
    </row>
    <row r="258" spans="1:26" x14ac:dyDescent="0.25">
      <c r="A258" s="9" t="s">
        <v>34</v>
      </c>
      <c r="B258" s="9" t="s">
        <v>32</v>
      </c>
      <c r="C258" s="9">
        <v>0</v>
      </c>
      <c r="D258" s="9">
        <v>0</v>
      </c>
      <c r="E258" s="9">
        <v>16</v>
      </c>
      <c r="F258" s="9">
        <v>0</v>
      </c>
      <c r="G258" s="9">
        <v>0</v>
      </c>
      <c r="H258" s="9">
        <v>0</v>
      </c>
      <c r="I258" s="9">
        <v>0</v>
      </c>
      <c r="J258" s="9">
        <v>4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76</v>
      </c>
      <c r="X258" s="9">
        <v>4</v>
      </c>
      <c r="Y258" s="9">
        <v>0</v>
      </c>
      <c r="Z258" s="9">
        <v>0</v>
      </c>
    </row>
    <row r="259" spans="1:26" x14ac:dyDescent="0.25">
      <c r="A259" s="9" t="s">
        <v>34</v>
      </c>
      <c r="B259" s="9" t="s">
        <v>32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8</v>
      </c>
      <c r="N259" s="9">
        <v>0</v>
      </c>
      <c r="O259" s="9">
        <v>0</v>
      </c>
      <c r="P259" s="9">
        <v>4</v>
      </c>
      <c r="Q259" s="9">
        <v>4</v>
      </c>
      <c r="R259" s="9">
        <v>0</v>
      </c>
      <c r="S259" s="9">
        <v>4</v>
      </c>
      <c r="T259" s="9">
        <v>0</v>
      </c>
      <c r="U259" s="9">
        <v>0</v>
      </c>
      <c r="V259" s="9">
        <v>0</v>
      </c>
      <c r="W259" s="9">
        <v>4</v>
      </c>
      <c r="X259" s="9">
        <v>4</v>
      </c>
      <c r="Y259" s="9">
        <v>72</v>
      </c>
      <c r="Z259" s="9">
        <v>0</v>
      </c>
    </row>
    <row r="260" spans="1:26" x14ac:dyDescent="0.25">
      <c r="A260" s="9" t="s">
        <v>34</v>
      </c>
      <c r="B260" s="9" t="s">
        <v>32</v>
      </c>
      <c r="C260" s="9">
        <v>0</v>
      </c>
      <c r="D260" s="9">
        <v>0</v>
      </c>
      <c r="E260" s="9">
        <v>8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92</v>
      </c>
      <c r="Z260" s="9">
        <v>0</v>
      </c>
    </row>
    <row r="261" spans="1:26" x14ac:dyDescent="0.25">
      <c r="A261" s="9" t="s">
        <v>34</v>
      </c>
      <c r="B261" s="9" t="s">
        <v>32</v>
      </c>
      <c r="C261" s="9">
        <v>0</v>
      </c>
      <c r="D261" s="9">
        <v>0</v>
      </c>
      <c r="E261" s="9">
        <v>8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4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8</v>
      </c>
      <c r="X261" s="9">
        <v>0</v>
      </c>
      <c r="Y261" s="9">
        <v>76</v>
      </c>
      <c r="Z261" s="9">
        <v>4</v>
      </c>
    </row>
    <row r="262" spans="1:26" x14ac:dyDescent="0.25">
      <c r="A262" s="9" t="s">
        <v>34</v>
      </c>
      <c r="B262" s="9" t="s">
        <v>32</v>
      </c>
      <c r="C262" s="9">
        <v>0</v>
      </c>
      <c r="D262" s="9">
        <v>0</v>
      </c>
      <c r="E262" s="9">
        <v>12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8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28</v>
      </c>
      <c r="X262" s="9">
        <v>0</v>
      </c>
      <c r="Y262" s="9">
        <v>52</v>
      </c>
      <c r="Z262" s="9">
        <v>0</v>
      </c>
    </row>
    <row r="263" spans="1:26" x14ac:dyDescent="0.25">
      <c r="A263" s="9" t="s">
        <v>34</v>
      </c>
      <c r="B263" s="9" t="s">
        <v>32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4</v>
      </c>
      <c r="M263" s="9">
        <v>16</v>
      </c>
      <c r="N263" s="9">
        <v>0</v>
      </c>
      <c r="O263" s="9">
        <v>0</v>
      </c>
      <c r="P263" s="9">
        <v>4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4</v>
      </c>
      <c r="X263" s="9">
        <v>0</v>
      </c>
      <c r="Y263" s="9">
        <v>72</v>
      </c>
      <c r="Z263" s="9">
        <v>0</v>
      </c>
    </row>
    <row r="264" spans="1:26" x14ac:dyDescent="0.25">
      <c r="A264" s="9" t="s">
        <v>34</v>
      </c>
      <c r="B264" s="9" t="s">
        <v>32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12</v>
      </c>
      <c r="N264" s="9">
        <v>0</v>
      </c>
      <c r="O264" s="9">
        <v>0</v>
      </c>
      <c r="P264" s="9">
        <v>8</v>
      </c>
      <c r="Q264" s="9">
        <v>4</v>
      </c>
      <c r="R264" s="9">
        <v>0</v>
      </c>
      <c r="S264" s="9">
        <v>4</v>
      </c>
      <c r="T264" s="9">
        <v>0</v>
      </c>
      <c r="U264" s="9">
        <v>0</v>
      </c>
      <c r="V264" s="9">
        <v>0</v>
      </c>
      <c r="W264" s="9">
        <v>16</v>
      </c>
      <c r="X264" s="9">
        <v>4</v>
      </c>
      <c r="Y264" s="9">
        <v>48</v>
      </c>
      <c r="Z264" s="9">
        <v>4</v>
      </c>
    </row>
    <row r="265" spans="1:26" x14ac:dyDescent="0.25">
      <c r="A265" s="9" t="s">
        <v>34</v>
      </c>
      <c r="B265" s="9" t="s">
        <v>32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100</v>
      </c>
      <c r="Z265" s="9">
        <v>0</v>
      </c>
    </row>
    <row r="266" spans="1:26" x14ac:dyDescent="0.25">
      <c r="A266" s="9" t="s">
        <v>34</v>
      </c>
      <c r="B266" s="9" t="s">
        <v>32</v>
      </c>
      <c r="C266" s="9">
        <v>0</v>
      </c>
      <c r="D266" s="9">
        <v>0</v>
      </c>
      <c r="E266" s="9">
        <v>0</v>
      </c>
      <c r="F266" s="9">
        <v>4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8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88</v>
      </c>
      <c r="Z266" s="9">
        <v>0</v>
      </c>
    </row>
    <row r="267" spans="1:26" x14ac:dyDescent="0.25">
      <c r="A267" s="9" t="s">
        <v>34</v>
      </c>
      <c r="B267" s="9" t="s">
        <v>32</v>
      </c>
      <c r="C267" s="9">
        <v>0</v>
      </c>
      <c r="D267" s="9">
        <v>0</v>
      </c>
      <c r="E267" s="9">
        <v>28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4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4</v>
      </c>
      <c r="X267" s="9">
        <v>0</v>
      </c>
      <c r="Y267" s="9">
        <v>64</v>
      </c>
      <c r="Z267" s="9">
        <v>0</v>
      </c>
    </row>
    <row r="268" spans="1:26" x14ac:dyDescent="0.25">
      <c r="A268" s="9" t="s">
        <v>34</v>
      </c>
      <c r="B268" s="9" t="s">
        <v>32</v>
      </c>
      <c r="C268" s="9">
        <v>0</v>
      </c>
      <c r="D268" s="9">
        <v>0</v>
      </c>
      <c r="E268" s="9">
        <v>4</v>
      </c>
      <c r="F268" s="9">
        <v>0</v>
      </c>
      <c r="G268" s="9">
        <v>0</v>
      </c>
      <c r="H268" s="9">
        <v>0</v>
      </c>
      <c r="I268" s="9">
        <v>0</v>
      </c>
      <c r="J268" s="9">
        <v>4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4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36</v>
      </c>
      <c r="X268" s="9">
        <v>0</v>
      </c>
      <c r="Y268" s="9">
        <v>52</v>
      </c>
      <c r="Z268" s="9">
        <v>0</v>
      </c>
    </row>
    <row r="269" spans="1:26" x14ac:dyDescent="0.25">
      <c r="A269" s="9" t="s">
        <v>34</v>
      </c>
      <c r="B269" s="9" t="s">
        <v>32</v>
      </c>
      <c r="C269" s="9">
        <v>0</v>
      </c>
      <c r="D269" s="9">
        <v>0</v>
      </c>
      <c r="E269" s="9">
        <v>12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4</v>
      </c>
      <c r="U269" s="9">
        <v>0</v>
      </c>
      <c r="V269" s="9">
        <v>0</v>
      </c>
      <c r="W269" s="9">
        <v>48</v>
      </c>
      <c r="X269" s="9">
        <v>12</v>
      </c>
      <c r="Y269" s="9">
        <v>24</v>
      </c>
      <c r="Z269" s="9">
        <v>0</v>
      </c>
    </row>
    <row r="270" spans="1:26" x14ac:dyDescent="0.25">
      <c r="A270" s="9" t="s">
        <v>34</v>
      </c>
      <c r="B270" s="9" t="s">
        <v>32</v>
      </c>
      <c r="C270" s="9">
        <v>0</v>
      </c>
      <c r="D270" s="9">
        <v>0</v>
      </c>
      <c r="E270" s="9">
        <v>8</v>
      </c>
      <c r="F270" s="9">
        <v>0</v>
      </c>
      <c r="G270" s="9">
        <v>0</v>
      </c>
      <c r="H270" s="9">
        <v>0</v>
      </c>
      <c r="I270" s="9">
        <v>0</v>
      </c>
      <c r="J270" s="9">
        <v>20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60</v>
      </c>
      <c r="X270" s="9">
        <v>0</v>
      </c>
      <c r="Y270" s="9">
        <v>4</v>
      </c>
      <c r="Z270" s="9">
        <v>8</v>
      </c>
    </row>
    <row r="271" spans="1:26" x14ac:dyDescent="0.25">
      <c r="A271" s="9" t="s">
        <v>34</v>
      </c>
      <c r="B271" s="9" t="s">
        <v>32</v>
      </c>
      <c r="C271" s="9">
        <v>0</v>
      </c>
      <c r="D271" s="9">
        <v>0</v>
      </c>
      <c r="E271" s="9">
        <v>8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4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8</v>
      </c>
      <c r="U271" s="9">
        <v>0</v>
      </c>
      <c r="V271" s="9">
        <v>0</v>
      </c>
      <c r="W271" s="9">
        <v>8</v>
      </c>
      <c r="X271" s="9">
        <v>0</v>
      </c>
      <c r="Y271" s="9">
        <v>68</v>
      </c>
      <c r="Z271" s="9">
        <v>4</v>
      </c>
    </row>
    <row r="272" spans="1:26" x14ac:dyDescent="0.25">
      <c r="A272" s="9" t="s">
        <v>35</v>
      </c>
      <c r="B272" s="9" t="s">
        <v>27</v>
      </c>
      <c r="C272" s="9">
        <v>0</v>
      </c>
      <c r="D272" s="9">
        <v>0</v>
      </c>
      <c r="E272" s="9">
        <v>0</v>
      </c>
      <c r="F272" s="9">
        <v>8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8</v>
      </c>
      <c r="X272" s="9">
        <v>8</v>
      </c>
      <c r="Y272" s="9">
        <v>76</v>
      </c>
      <c r="Z272" s="9">
        <v>0</v>
      </c>
    </row>
    <row r="273" spans="1:26" x14ac:dyDescent="0.25">
      <c r="A273" s="9" t="s">
        <v>35</v>
      </c>
      <c r="B273" s="9" t="s">
        <v>27</v>
      </c>
      <c r="C273" s="9">
        <v>0</v>
      </c>
      <c r="D273" s="9">
        <v>0</v>
      </c>
      <c r="E273" s="9">
        <v>24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4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12</v>
      </c>
      <c r="X273" s="9">
        <v>4</v>
      </c>
      <c r="Y273" s="9">
        <v>52</v>
      </c>
      <c r="Z273" s="9">
        <v>4</v>
      </c>
    </row>
    <row r="274" spans="1:26" x14ac:dyDescent="0.25">
      <c r="A274" s="9" t="s">
        <v>35</v>
      </c>
      <c r="B274" s="9" t="s">
        <v>27</v>
      </c>
      <c r="C274" s="9">
        <v>0</v>
      </c>
      <c r="D274" s="9">
        <v>0</v>
      </c>
      <c r="E274" s="9">
        <v>28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4</v>
      </c>
      <c r="T274" s="9">
        <v>0</v>
      </c>
      <c r="U274" s="9">
        <v>0</v>
      </c>
      <c r="V274" s="9">
        <v>0</v>
      </c>
      <c r="W274" s="9">
        <v>8</v>
      </c>
      <c r="X274" s="9">
        <v>0</v>
      </c>
      <c r="Y274" s="9">
        <v>60</v>
      </c>
      <c r="Z274" s="9">
        <v>0</v>
      </c>
    </row>
    <row r="275" spans="1:26" x14ac:dyDescent="0.25">
      <c r="A275" s="9" t="s">
        <v>35</v>
      </c>
      <c r="B275" s="9" t="s">
        <v>27</v>
      </c>
      <c r="C275" s="9">
        <v>0</v>
      </c>
      <c r="D275" s="9">
        <v>0</v>
      </c>
      <c r="E275" s="9">
        <v>20</v>
      </c>
      <c r="F275" s="9">
        <v>0</v>
      </c>
      <c r="G275" s="9">
        <v>0</v>
      </c>
      <c r="H275" s="9">
        <v>0</v>
      </c>
      <c r="I275" s="9">
        <v>0</v>
      </c>
      <c r="J275" s="9">
        <v>4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4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8</v>
      </c>
      <c r="X275" s="9">
        <v>0</v>
      </c>
      <c r="Y275" s="9">
        <v>64</v>
      </c>
      <c r="Z275" s="9">
        <v>0</v>
      </c>
    </row>
    <row r="276" spans="1:26" x14ac:dyDescent="0.25">
      <c r="A276" s="9" t="s">
        <v>35</v>
      </c>
      <c r="B276" s="9" t="s">
        <v>27</v>
      </c>
      <c r="C276" s="9">
        <v>0</v>
      </c>
      <c r="D276" s="9">
        <v>0</v>
      </c>
      <c r="E276" s="9">
        <v>20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8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16</v>
      </c>
      <c r="X276" s="9">
        <v>0</v>
      </c>
      <c r="Y276" s="9">
        <v>56</v>
      </c>
      <c r="Z276" s="9">
        <v>0</v>
      </c>
    </row>
    <row r="277" spans="1:26" x14ac:dyDescent="0.25">
      <c r="A277" s="9" t="s">
        <v>35</v>
      </c>
      <c r="B277" s="9" t="s">
        <v>27</v>
      </c>
      <c r="C277" s="9">
        <v>0</v>
      </c>
      <c r="D277" s="9">
        <v>0</v>
      </c>
      <c r="E277" s="9">
        <v>0</v>
      </c>
      <c r="F277" s="9">
        <v>20</v>
      </c>
      <c r="G277" s="9">
        <v>0</v>
      </c>
      <c r="H277" s="9">
        <v>0</v>
      </c>
      <c r="I277" s="9">
        <v>4</v>
      </c>
      <c r="J277" s="9">
        <v>4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32</v>
      </c>
      <c r="X277" s="9">
        <v>0</v>
      </c>
      <c r="Y277" s="9">
        <v>32</v>
      </c>
      <c r="Z277" s="9">
        <v>8</v>
      </c>
    </row>
    <row r="278" spans="1:26" x14ac:dyDescent="0.25">
      <c r="A278" s="9" t="s">
        <v>35</v>
      </c>
      <c r="B278" s="9" t="s">
        <v>27</v>
      </c>
      <c r="C278" s="9">
        <v>0</v>
      </c>
      <c r="D278" s="9">
        <v>0</v>
      </c>
      <c r="E278" s="9">
        <v>0</v>
      </c>
      <c r="F278" s="9">
        <v>32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20</v>
      </c>
      <c r="X278" s="9">
        <v>0</v>
      </c>
      <c r="Y278" s="9">
        <v>36</v>
      </c>
      <c r="Z278" s="9">
        <v>12</v>
      </c>
    </row>
    <row r="279" spans="1:26" x14ac:dyDescent="0.25">
      <c r="A279" s="9" t="s">
        <v>35</v>
      </c>
      <c r="B279" s="9" t="s">
        <v>27</v>
      </c>
      <c r="C279" s="9">
        <v>0</v>
      </c>
      <c r="D279" s="9">
        <v>0</v>
      </c>
      <c r="E279" s="9">
        <v>20</v>
      </c>
      <c r="F279" s="9">
        <v>0</v>
      </c>
      <c r="G279" s="9">
        <v>0</v>
      </c>
      <c r="H279" s="9">
        <v>0</v>
      </c>
      <c r="I279" s="9">
        <v>0</v>
      </c>
      <c r="J279" s="9">
        <v>4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8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16</v>
      </c>
      <c r="X279" s="9">
        <v>0</v>
      </c>
      <c r="Y279" s="9">
        <v>48</v>
      </c>
      <c r="Z279" s="9">
        <v>4</v>
      </c>
    </row>
    <row r="280" spans="1:26" x14ac:dyDescent="0.25">
      <c r="A280" s="9" t="s">
        <v>35</v>
      </c>
      <c r="B280" s="9" t="s">
        <v>27</v>
      </c>
      <c r="C280" s="9">
        <v>0</v>
      </c>
      <c r="D280" s="9">
        <v>0</v>
      </c>
      <c r="E280" s="9">
        <v>0</v>
      </c>
      <c r="F280" s="9">
        <v>0</v>
      </c>
      <c r="G280" s="9">
        <v>8</v>
      </c>
      <c r="H280" s="9">
        <v>0</v>
      </c>
      <c r="I280" s="9">
        <v>0</v>
      </c>
      <c r="J280" s="9">
        <v>4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4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52</v>
      </c>
      <c r="X280" s="9">
        <v>8</v>
      </c>
      <c r="Y280" s="9">
        <v>20</v>
      </c>
      <c r="Z280" s="9">
        <v>4</v>
      </c>
    </row>
    <row r="281" spans="1:26" x14ac:dyDescent="0.25">
      <c r="A281" s="9" t="s">
        <v>35</v>
      </c>
      <c r="B281" s="9" t="s">
        <v>27</v>
      </c>
      <c r="C281" s="9">
        <v>0</v>
      </c>
      <c r="D281" s="9">
        <v>0</v>
      </c>
      <c r="E281" s="9">
        <v>24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4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16</v>
      </c>
      <c r="X281" s="9">
        <v>0</v>
      </c>
      <c r="Y281" s="9">
        <v>56</v>
      </c>
      <c r="Z281" s="9">
        <v>0</v>
      </c>
    </row>
    <row r="282" spans="1:26" x14ac:dyDescent="0.25">
      <c r="A282" s="9" t="s">
        <v>35</v>
      </c>
      <c r="B282" s="9" t="s">
        <v>27</v>
      </c>
      <c r="C282" s="9">
        <v>0</v>
      </c>
      <c r="D282" s="9">
        <v>0</v>
      </c>
      <c r="E282" s="9">
        <v>28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4</v>
      </c>
      <c r="X282" s="9">
        <v>0</v>
      </c>
      <c r="Y282" s="9">
        <v>68</v>
      </c>
      <c r="Z282" s="9">
        <v>0</v>
      </c>
    </row>
    <row r="283" spans="1:26" x14ac:dyDescent="0.25">
      <c r="A283" s="9" t="s">
        <v>35</v>
      </c>
      <c r="B283" s="9" t="s">
        <v>27</v>
      </c>
      <c r="C283" s="9">
        <v>0</v>
      </c>
      <c r="D283" s="9">
        <v>0</v>
      </c>
      <c r="E283" s="9">
        <v>0</v>
      </c>
      <c r="F283" s="9">
        <v>24</v>
      </c>
      <c r="G283" s="9">
        <v>0</v>
      </c>
      <c r="H283" s="9">
        <v>0</v>
      </c>
      <c r="I283" s="9">
        <v>0</v>
      </c>
      <c r="J283" s="9">
        <v>8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12</v>
      </c>
      <c r="X283" s="9">
        <v>4</v>
      </c>
      <c r="Y283" s="9">
        <v>52</v>
      </c>
      <c r="Z283" s="9">
        <v>0</v>
      </c>
    </row>
    <row r="284" spans="1:26" x14ac:dyDescent="0.25">
      <c r="A284" s="9" t="s">
        <v>35</v>
      </c>
      <c r="B284" s="9" t="s">
        <v>27</v>
      </c>
      <c r="C284" s="9">
        <v>0</v>
      </c>
      <c r="D284" s="9">
        <v>0</v>
      </c>
      <c r="E284" s="9">
        <v>8</v>
      </c>
      <c r="F284" s="9">
        <v>0</v>
      </c>
      <c r="G284" s="9">
        <v>0</v>
      </c>
      <c r="H284" s="9">
        <v>0</v>
      </c>
      <c r="I284" s="9">
        <v>0</v>
      </c>
      <c r="J284" s="9">
        <v>12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20</v>
      </c>
      <c r="X284" s="9">
        <v>4</v>
      </c>
      <c r="Y284" s="9">
        <v>56</v>
      </c>
      <c r="Z284" s="9">
        <v>0</v>
      </c>
    </row>
    <row r="285" spans="1:26" x14ac:dyDescent="0.25">
      <c r="A285" s="9" t="s">
        <v>35</v>
      </c>
      <c r="B285" s="9" t="s">
        <v>27</v>
      </c>
      <c r="C285" s="9">
        <v>0</v>
      </c>
      <c r="D285" s="9">
        <v>0</v>
      </c>
      <c r="E285" s="9">
        <v>24</v>
      </c>
      <c r="F285" s="9">
        <v>8</v>
      </c>
      <c r="G285" s="9">
        <v>0</v>
      </c>
      <c r="H285" s="9">
        <v>0</v>
      </c>
      <c r="I285" s="9">
        <v>0</v>
      </c>
      <c r="J285" s="9">
        <v>8</v>
      </c>
      <c r="K285" s="9">
        <v>0</v>
      </c>
      <c r="L285" s="9">
        <v>0</v>
      </c>
      <c r="M285" s="9">
        <v>0</v>
      </c>
      <c r="N285" s="9">
        <v>4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20</v>
      </c>
      <c r="X285" s="9">
        <v>0</v>
      </c>
      <c r="Y285" s="9">
        <v>36</v>
      </c>
      <c r="Z285" s="9">
        <v>0</v>
      </c>
    </row>
    <row r="286" spans="1:26" x14ac:dyDescent="0.25">
      <c r="A286" s="9" t="s">
        <v>35</v>
      </c>
      <c r="B286" s="9" t="s">
        <v>27</v>
      </c>
      <c r="C286" s="9">
        <v>0</v>
      </c>
      <c r="D286" s="9">
        <v>0</v>
      </c>
      <c r="E286" s="9">
        <v>8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4</v>
      </c>
      <c r="R286" s="9">
        <v>0</v>
      </c>
      <c r="S286" s="9">
        <v>0</v>
      </c>
      <c r="T286" s="9">
        <v>0</v>
      </c>
      <c r="U286" s="9">
        <v>0</v>
      </c>
      <c r="V286" s="9">
        <v>40</v>
      </c>
      <c r="W286" s="9">
        <v>8</v>
      </c>
      <c r="X286" s="9">
        <v>8</v>
      </c>
      <c r="Y286" s="9">
        <v>28</v>
      </c>
      <c r="Z286" s="9">
        <v>4</v>
      </c>
    </row>
    <row r="287" spans="1:26" x14ac:dyDescent="0.25">
      <c r="A287" s="9" t="s">
        <v>35</v>
      </c>
      <c r="B287" s="9" t="s">
        <v>28</v>
      </c>
      <c r="C287" s="9">
        <v>0</v>
      </c>
      <c r="D287" s="9">
        <v>0</v>
      </c>
      <c r="E287" s="9">
        <v>28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72</v>
      </c>
      <c r="Z287" s="9">
        <v>0</v>
      </c>
    </row>
    <row r="288" spans="1:26" x14ac:dyDescent="0.25">
      <c r="A288" s="9" t="s">
        <v>35</v>
      </c>
      <c r="B288" s="9" t="s">
        <v>28</v>
      </c>
      <c r="C288" s="9">
        <v>0</v>
      </c>
      <c r="D288" s="9">
        <v>0</v>
      </c>
      <c r="E288" s="9">
        <v>0</v>
      </c>
      <c r="F288" s="9">
        <v>20</v>
      </c>
      <c r="G288" s="9">
        <v>4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8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8</v>
      </c>
      <c r="W288" s="9">
        <v>12</v>
      </c>
      <c r="X288" s="9">
        <v>8</v>
      </c>
      <c r="Y288" s="9">
        <v>28</v>
      </c>
      <c r="Z288" s="9">
        <v>12</v>
      </c>
    </row>
    <row r="289" spans="1:26" x14ac:dyDescent="0.25">
      <c r="A289" s="9" t="s">
        <v>35</v>
      </c>
      <c r="B289" s="9" t="s">
        <v>28</v>
      </c>
      <c r="C289" s="9">
        <v>0</v>
      </c>
      <c r="D289" s="9">
        <v>0</v>
      </c>
      <c r="E289" s="9">
        <v>0</v>
      </c>
      <c r="F289" s="9">
        <v>16</v>
      </c>
      <c r="G289" s="9">
        <v>4</v>
      </c>
      <c r="H289" s="9">
        <v>0</v>
      </c>
      <c r="I289" s="9">
        <v>0</v>
      </c>
      <c r="J289" s="9">
        <v>12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40</v>
      </c>
      <c r="X289" s="9">
        <v>4</v>
      </c>
      <c r="Y289" s="9">
        <v>16</v>
      </c>
      <c r="Z289" s="9">
        <v>8</v>
      </c>
    </row>
    <row r="290" spans="1:26" x14ac:dyDescent="0.25">
      <c r="A290" s="9" t="s">
        <v>35</v>
      </c>
      <c r="B290" s="9" t="s">
        <v>28</v>
      </c>
      <c r="C290" s="9">
        <v>0</v>
      </c>
      <c r="D290" s="9">
        <v>0</v>
      </c>
      <c r="E290" s="9">
        <v>28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36</v>
      </c>
      <c r="W290" s="9">
        <v>4</v>
      </c>
      <c r="X290" s="9">
        <v>0</v>
      </c>
      <c r="Y290" s="9">
        <v>32</v>
      </c>
      <c r="Z290" s="9">
        <v>0</v>
      </c>
    </row>
    <row r="291" spans="1:26" x14ac:dyDescent="0.25">
      <c r="A291" s="9" t="s">
        <v>35</v>
      </c>
      <c r="B291" s="9" t="s">
        <v>28</v>
      </c>
      <c r="C291" s="9">
        <v>0</v>
      </c>
      <c r="D291" s="9">
        <v>0</v>
      </c>
      <c r="E291" s="9">
        <v>32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20</v>
      </c>
      <c r="X291" s="9">
        <v>4</v>
      </c>
      <c r="Y291" s="9">
        <v>44</v>
      </c>
      <c r="Z291" s="9">
        <v>0</v>
      </c>
    </row>
    <row r="292" spans="1:26" x14ac:dyDescent="0.25">
      <c r="A292" s="9" t="s">
        <v>35</v>
      </c>
      <c r="B292" s="9" t="s">
        <v>28</v>
      </c>
      <c r="C292" s="9">
        <v>0</v>
      </c>
      <c r="D292" s="9">
        <v>0</v>
      </c>
      <c r="E292" s="9">
        <v>24</v>
      </c>
      <c r="F292" s="9">
        <v>0</v>
      </c>
      <c r="G292" s="9">
        <v>0</v>
      </c>
      <c r="H292" s="9">
        <v>0</v>
      </c>
      <c r="I292" s="9">
        <v>0</v>
      </c>
      <c r="J292" s="9">
        <v>4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20</v>
      </c>
      <c r="X292" s="9">
        <v>4</v>
      </c>
      <c r="Y292" s="9">
        <v>48</v>
      </c>
      <c r="Z292" s="9">
        <v>0</v>
      </c>
    </row>
    <row r="293" spans="1:26" x14ac:dyDescent="0.25">
      <c r="A293" s="9" t="s">
        <v>35</v>
      </c>
      <c r="B293" s="9" t="s">
        <v>28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28</v>
      </c>
      <c r="K293" s="9">
        <v>0</v>
      </c>
      <c r="L293" s="9">
        <v>0</v>
      </c>
      <c r="M293" s="9">
        <v>0</v>
      </c>
      <c r="N293" s="9">
        <v>4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20</v>
      </c>
      <c r="X293" s="9">
        <v>4</v>
      </c>
      <c r="Y293" s="9">
        <v>28</v>
      </c>
      <c r="Z293" s="9">
        <v>16</v>
      </c>
    </row>
    <row r="294" spans="1:26" x14ac:dyDescent="0.25">
      <c r="A294" s="9" t="s">
        <v>35</v>
      </c>
      <c r="B294" s="9" t="s">
        <v>28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36</v>
      </c>
      <c r="X294" s="9">
        <v>8</v>
      </c>
      <c r="Y294" s="9">
        <v>44</v>
      </c>
      <c r="Z294" s="9">
        <v>12</v>
      </c>
    </row>
    <row r="295" spans="1:26" x14ac:dyDescent="0.25">
      <c r="A295" s="9" t="s">
        <v>35</v>
      </c>
      <c r="B295" s="9" t="s">
        <v>28</v>
      </c>
      <c r="C295" s="9">
        <v>0</v>
      </c>
      <c r="D295" s="9">
        <v>0</v>
      </c>
      <c r="E295" s="9">
        <v>12</v>
      </c>
      <c r="F295" s="9">
        <v>4</v>
      </c>
      <c r="G295" s="9">
        <v>0</v>
      </c>
      <c r="H295" s="9">
        <v>0</v>
      </c>
      <c r="I295" s="9">
        <v>0</v>
      </c>
      <c r="J295" s="9">
        <v>8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4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40</v>
      </c>
      <c r="X295" s="9">
        <v>0</v>
      </c>
      <c r="Y295" s="9">
        <v>20</v>
      </c>
      <c r="Z295" s="9">
        <v>12</v>
      </c>
    </row>
    <row r="296" spans="1:26" x14ac:dyDescent="0.25">
      <c r="A296" s="9" t="s">
        <v>35</v>
      </c>
      <c r="B296" s="9" t="s">
        <v>28</v>
      </c>
      <c r="C296" s="9">
        <v>0</v>
      </c>
      <c r="D296" s="9">
        <v>0</v>
      </c>
      <c r="E296" s="9">
        <v>0</v>
      </c>
      <c r="F296" s="9">
        <v>28</v>
      </c>
      <c r="G296" s="9">
        <v>0</v>
      </c>
      <c r="H296" s="9">
        <v>0</v>
      </c>
      <c r="I296" s="9">
        <v>0</v>
      </c>
      <c r="J296" s="9">
        <v>8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4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16</v>
      </c>
      <c r="X296" s="9">
        <v>0</v>
      </c>
      <c r="Y296" s="9">
        <v>36</v>
      </c>
      <c r="Z296" s="9">
        <v>8</v>
      </c>
    </row>
    <row r="297" spans="1:26" x14ac:dyDescent="0.25">
      <c r="A297" s="9" t="s">
        <v>35</v>
      </c>
      <c r="B297" s="9" t="s">
        <v>28</v>
      </c>
      <c r="C297" s="9">
        <v>0</v>
      </c>
      <c r="D297" s="9">
        <v>0</v>
      </c>
      <c r="E297" s="9">
        <v>8</v>
      </c>
      <c r="F297" s="9">
        <v>16</v>
      </c>
      <c r="G297" s="9">
        <v>0</v>
      </c>
      <c r="H297" s="9">
        <v>0</v>
      </c>
      <c r="I297" s="9">
        <v>0</v>
      </c>
      <c r="J297" s="9">
        <v>8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20</v>
      </c>
      <c r="X297" s="9">
        <v>0</v>
      </c>
      <c r="Y297" s="9">
        <v>48</v>
      </c>
      <c r="Z297" s="9">
        <v>0</v>
      </c>
    </row>
    <row r="298" spans="1:26" x14ac:dyDescent="0.25">
      <c r="A298" s="9" t="s">
        <v>35</v>
      </c>
      <c r="B298" s="9" t="s">
        <v>28</v>
      </c>
      <c r="C298" s="9">
        <v>0</v>
      </c>
      <c r="D298" s="9">
        <v>0</v>
      </c>
      <c r="E298" s="9">
        <v>36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12</v>
      </c>
      <c r="X298" s="9">
        <v>0</v>
      </c>
      <c r="Y298" s="9">
        <v>52</v>
      </c>
      <c r="Z298" s="9">
        <v>0</v>
      </c>
    </row>
    <row r="299" spans="1:26" x14ac:dyDescent="0.25">
      <c r="A299" s="9" t="s">
        <v>35</v>
      </c>
      <c r="B299" s="9" t="s">
        <v>28</v>
      </c>
      <c r="C299" s="9">
        <v>0</v>
      </c>
      <c r="D299" s="9">
        <v>0</v>
      </c>
      <c r="E299" s="9">
        <v>16</v>
      </c>
      <c r="F299" s="9">
        <v>0</v>
      </c>
      <c r="G299" s="9">
        <v>0</v>
      </c>
      <c r="H299" s="9">
        <v>0</v>
      </c>
      <c r="I299" s="9">
        <v>0</v>
      </c>
      <c r="J299" s="9">
        <v>8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4</v>
      </c>
      <c r="Q299" s="9">
        <v>8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28</v>
      </c>
      <c r="X299" s="9">
        <v>8</v>
      </c>
      <c r="Y299" s="9">
        <v>24</v>
      </c>
      <c r="Z299" s="9">
        <v>4</v>
      </c>
    </row>
    <row r="300" spans="1:26" x14ac:dyDescent="0.25">
      <c r="A300" s="9" t="s">
        <v>35</v>
      </c>
      <c r="B300" s="9" t="s">
        <v>28</v>
      </c>
      <c r="C300" s="9">
        <v>0</v>
      </c>
      <c r="D300" s="9">
        <v>0</v>
      </c>
      <c r="E300" s="9">
        <v>8</v>
      </c>
      <c r="F300" s="9">
        <v>28</v>
      </c>
      <c r="G300" s="9">
        <v>0</v>
      </c>
      <c r="H300" s="9">
        <v>0</v>
      </c>
      <c r="I300" s="9">
        <v>0</v>
      </c>
      <c r="J300" s="9">
        <v>4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24</v>
      </c>
      <c r="X300" s="9">
        <v>0</v>
      </c>
      <c r="Y300" s="9">
        <v>20</v>
      </c>
      <c r="Z300" s="9">
        <v>16</v>
      </c>
    </row>
    <row r="301" spans="1:26" x14ac:dyDescent="0.25">
      <c r="A301" s="9" t="s">
        <v>35</v>
      </c>
      <c r="B301" s="9" t="s">
        <v>28</v>
      </c>
      <c r="C301" s="9">
        <v>0</v>
      </c>
      <c r="D301" s="9">
        <v>0</v>
      </c>
      <c r="E301" s="9">
        <v>20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4</v>
      </c>
      <c r="X301" s="9">
        <v>0</v>
      </c>
      <c r="Y301" s="9">
        <v>76</v>
      </c>
      <c r="Z301" s="9">
        <v>0</v>
      </c>
    </row>
    <row r="302" spans="1:26" x14ac:dyDescent="0.25">
      <c r="A302" s="9" t="s">
        <v>35</v>
      </c>
      <c r="B302" s="9" t="s">
        <v>29</v>
      </c>
      <c r="C302" s="9">
        <v>0</v>
      </c>
      <c r="D302" s="9">
        <v>0</v>
      </c>
      <c r="E302" s="9">
        <v>16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4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40</v>
      </c>
      <c r="X302" s="9">
        <v>0</v>
      </c>
      <c r="Y302" s="9">
        <v>36</v>
      </c>
      <c r="Z302" s="9">
        <v>4</v>
      </c>
    </row>
    <row r="303" spans="1:26" x14ac:dyDescent="0.25">
      <c r="A303" s="9" t="s">
        <v>35</v>
      </c>
      <c r="B303" s="9" t="s">
        <v>29</v>
      </c>
      <c r="C303" s="9">
        <v>0</v>
      </c>
      <c r="D303" s="9">
        <v>0</v>
      </c>
      <c r="E303" s="9">
        <v>24</v>
      </c>
      <c r="F303" s="9">
        <v>0</v>
      </c>
      <c r="G303" s="9">
        <v>0</v>
      </c>
      <c r="H303" s="9">
        <v>0</v>
      </c>
      <c r="I303" s="9">
        <v>0</v>
      </c>
      <c r="J303" s="9">
        <v>32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4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12</v>
      </c>
      <c r="X303" s="9">
        <v>0</v>
      </c>
      <c r="Y303" s="9">
        <v>28</v>
      </c>
      <c r="Z303" s="9">
        <v>0</v>
      </c>
    </row>
    <row r="304" spans="1:26" x14ac:dyDescent="0.25">
      <c r="A304" s="9" t="s">
        <v>35</v>
      </c>
      <c r="B304" s="9" t="s">
        <v>29</v>
      </c>
      <c r="C304" s="9">
        <v>0</v>
      </c>
      <c r="D304" s="9">
        <v>0</v>
      </c>
      <c r="E304" s="9">
        <v>24</v>
      </c>
      <c r="F304" s="9">
        <v>0</v>
      </c>
      <c r="G304" s="9">
        <v>0</v>
      </c>
      <c r="H304" s="9">
        <v>0</v>
      </c>
      <c r="I304" s="9">
        <v>0</v>
      </c>
      <c r="J304" s="9">
        <v>4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4</v>
      </c>
      <c r="X304" s="9">
        <v>0</v>
      </c>
      <c r="Y304" s="9">
        <v>68</v>
      </c>
      <c r="Z304" s="9">
        <v>0</v>
      </c>
    </row>
    <row r="305" spans="1:26" x14ac:dyDescent="0.25">
      <c r="A305" s="9" t="s">
        <v>35</v>
      </c>
      <c r="B305" s="9" t="s">
        <v>29</v>
      </c>
      <c r="C305" s="9">
        <v>0</v>
      </c>
      <c r="D305" s="9">
        <v>0</v>
      </c>
      <c r="E305" s="9">
        <v>36</v>
      </c>
      <c r="F305" s="9">
        <v>0</v>
      </c>
      <c r="G305" s="9">
        <v>0</v>
      </c>
      <c r="H305" s="9">
        <v>0</v>
      </c>
      <c r="I305" s="9">
        <v>0</v>
      </c>
      <c r="J305" s="9">
        <v>4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4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44</v>
      </c>
      <c r="X305" s="9">
        <v>0</v>
      </c>
      <c r="Y305" s="9">
        <v>12</v>
      </c>
      <c r="Z305" s="9">
        <v>0</v>
      </c>
    </row>
    <row r="306" spans="1:26" x14ac:dyDescent="0.25">
      <c r="A306" s="9" t="s">
        <v>35</v>
      </c>
      <c r="B306" s="9" t="s">
        <v>29</v>
      </c>
      <c r="C306" s="9">
        <v>0</v>
      </c>
      <c r="D306" s="9">
        <v>0</v>
      </c>
      <c r="E306" s="9">
        <v>12</v>
      </c>
      <c r="F306" s="9">
        <v>0</v>
      </c>
      <c r="G306" s="9">
        <v>0</v>
      </c>
      <c r="H306" s="9">
        <v>0</v>
      </c>
      <c r="I306" s="9">
        <v>0</v>
      </c>
      <c r="J306" s="9">
        <v>8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20</v>
      </c>
      <c r="X306" s="9">
        <v>0</v>
      </c>
      <c r="Y306" s="9">
        <v>60</v>
      </c>
      <c r="Z306" s="9">
        <v>0</v>
      </c>
    </row>
    <row r="307" spans="1:26" x14ac:dyDescent="0.25">
      <c r="A307" s="9" t="s">
        <v>35</v>
      </c>
      <c r="B307" s="9" t="s">
        <v>29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4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16</v>
      </c>
      <c r="X307" s="9">
        <v>0</v>
      </c>
      <c r="Y307" s="9">
        <v>76</v>
      </c>
      <c r="Z307" s="9">
        <v>4</v>
      </c>
    </row>
    <row r="308" spans="1:26" x14ac:dyDescent="0.25">
      <c r="A308" s="9" t="s">
        <v>35</v>
      </c>
      <c r="B308" s="9" t="s">
        <v>29</v>
      </c>
      <c r="C308" s="9">
        <v>0</v>
      </c>
      <c r="D308" s="9">
        <v>0</v>
      </c>
      <c r="E308" s="9">
        <v>8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20</v>
      </c>
      <c r="W308" s="9">
        <v>4</v>
      </c>
      <c r="X308" s="9">
        <v>4</v>
      </c>
      <c r="Y308" s="9">
        <v>64</v>
      </c>
      <c r="Z308" s="9">
        <v>0</v>
      </c>
    </row>
    <row r="309" spans="1:26" x14ac:dyDescent="0.25">
      <c r="A309" s="9" t="s">
        <v>35</v>
      </c>
      <c r="B309" s="9" t="s">
        <v>29</v>
      </c>
      <c r="C309" s="9">
        <v>0</v>
      </c>
      <c r="D309" s="9">
        <v>0</v>
      </c>
      <c r="E309" s="9">
        <v>28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12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60</v>
      </c>
      <c r="Z309" s="9">
        <v>0</v>
      </c>
    </row>
    <row r="310" spans="1:26" x14ac:dyDescent="0.25">
      <c r="A310" s="9" t="s">
        <v>35</v>
      </c>
      <c r="B310" s="9" t="s">
        <v>29</v>
      </c>
      <c r="C310" s="9">
        <v>0</v>
      </c>
      <c r="D310" s="9">
        <v>0</v>
      </c>
      <c r="E310" s="9">
        <v>20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12</v>
      </c>
      <c r="R310" s="9">
        <v>0</v>
      </c>
      <c r="S310" s="9">
        <v>0</v>
      </c>
      <c r="T310" s="9">
        <v>0</v>
      </c>
      <c r="U310" s="9">
        <v>0</v>
      </c>
      <c r="V310" s="9">
        <v>16</v>
      </c>
      <c r="W310" s="9">
        <v>20</v>
      </c>
      <c r="X310" s="9">
        <v>0</v>
      </c>
      <c r="Y310" s="9">
        <v>32</v>
      </c>
      <c r="Z310" s="9">
        <v>0</v>
      </c>
    </row>
    <row r="311" spans="1:26" x14ac:dyDescent="0.25">
      <c r="A311" s="9" t="s">
        <v>35</v>
      </c>
      <c r="B311" s="9" t="s">
        <v>29</v>
      </c>
      <c r="C311" s="9">
        <v>0</v>
      </c>
      <c r="D311" s="9">
        <v>0</v>
      </c>
      <c r="E311" s="9">
        <v>28</v>
      </c>
      <c r="F311" s="9">
        <v>0</v>
      </c>
      <c r="G311" s="9">
        <v>0</v>
      </c>
      <c r="H311" s="9">
        <v>0</v>
      </c>
      <c r="I311" s="9">
        <v>0</v>
      </c>
      <c r="J311" s="9">
        <v>4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4</v>
      </c>
      <c r="W311" s="9">
        <v>12</v>
      </c>
      <c r="X311" s="9">
        <v>8</v>
      </c>
      <c r="Y311" s="9">
        <v>44</v>
      </c>
      <c r="Z311" s="9">
        <v>0</v>
      </c>
    </row>
    <row r="312" spans="1:26" x14ac:dyDescent="0.25">
      <c r="A312" s="9" t="s">
        <v>35</v>
      </c>
      <c r="B312" s="9" t="s">
        <v>29</v>
      </c>
      <c r="C312" s="9">
        <v>4</v>
      </c>
      <c r="D312" s="9">
        <v>0</v>
      </c>
      <c r="E312" s="9">
        <v>0</v>
      </c>
      <c r="F312" s="9">
        <v>12</v>
      </c>
      <c r="G312" s="9">
        <v>0</v>
      </c>
      <c r="H312" s="9">
        <v>0</v>
      </c>
      <c r="I312" s="9">
        <v>0</v>
      </c>
      <c r="J312" s="9">
        <v>4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20</v>
      </c>
      <c r="W312" s="9">
        <v>12</v>
      </c>
      <c r="X312" s="9">
        <v>4</v>
      </c>
      <c r="Y312" s="9">
        <v>44</v>
      </c>
      <c r="Z312" s="9">
        <v>0</v>
      </c>
    </row>
    <row r="313" spans="1:26" x14ac:dyDescent="0.25">
      <c r="A313" s="9" t="s">
        <v>35</v>
      </c>
      <c r="B313" s="9" t="s">
        <v>29</v>
      </c>
      <c r="C313" s="9">
        <v>0</v>
      </c>
      <c r="D313" s="9">
        <v>0</v>
      </c>
      <c r="E313" s="9">
        <v>24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4</v>
      </c>
      <c r="X313" s="9">
        <v>0</v>
      </c>
      <c r="Y313" s="9">
        <v>68</v>
      </c>
      <c r="Z313" s="9">
        <v>4</v>
      </c>
    </row>
    <row r="314" spans="1:26" x14ac:dyDescent="0.25">
      <c r="A314" s="9" t="s">
        <v>35</v>
      </c>
      <c r="B314" s="9" t="s">
        <v>29</v>
      </c>
      <c r="C314" s="9">
        <v>0</v>
      </c>
      <c r="D314" s="9">
        <v>0</v>
      </c>
      <c r="E314" s="9">
        <v>12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8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4</v>
      </c>
      <c r="X314" s="9">
        <v>0</v>
      </c>
      <c r="Y314" s="9">
        <v>76</v>
      </c>
      <c r="Z314" s="9">
        <v>0</v>
      </c>
    </row>
    <row r="315" spans="1:26" x14ac:dyDescent="0.25">
      <c r="A315" s="9" t="s">
        <v>35</v>
      </c>
      <c r="B315" s="9" t="s">
        <v>29</v>
      </c>
      <c r="C315" s="9">
        <v>0</v>
      </c>
      <c r="D315" s="9">
        <v>0</v>
      </c>
      <c r="E315" s="9">
        <v>8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4</v>
      </c>
      <c r="X315" s="9">
        <v>4</v>
      </c>
      <c r="Y315" s="9">
        <v>84</v>
      </c>
      <c r="Z315" s="9">
        <v>0</v>
      </c>
    </row>
    <row r="316" spans="1:26" x14ac:dyDescent="0.25">
      <c r="A316" s="9" t="s">
        <v>35</v>
      </c>
      <c r="B316" s="9" t="s">
        <v>29</v>
      </c>
      <c r="C316" s="9">
        <v>0</v>
      </c>
      <c r="D316" s="9">
        <v>0</v>
      </c>
      <c r="E316" s="9">
        <v>24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4</v>
      </c>
      <c r="R316" s="9">
        <v>0</v>
      </c>
      <c r="S316" s="9">
        <v>0</v>
      </c>
      <c r="T316" s="9">
        <v>0</v>
      </c>
      <c r="U316" s="9">
        <v>0</v>
      </c>
      <c r="V316" s="9">
        <v>4</v>
      </c>
      <c r="W316" s="9">
        <v>4</v>
      </c>
      <c r="X316" s="9">
        <v>0</v>
      </c>
      <c r="Y316" s="9">
        <v>64</v>
      </c>
      <c r="Z316" s="9">
        <v>0</v>
      </c>
    </row>
    <row r="317" spans="1:26" x14ac:dyDescent="0.25">
      <c r="A317" s="9" t="s">
        <v>35</v>
      </c>
      <c r="B317" s="9" t="s">
        <v>30</v>
      </c>
      <c r="C317" s="9">
        <v>8</v>
      </c>
      <c r="D317" s="9">
        <v>0</v>
      </c>
      <c r="E317" s="9">
        <v>16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4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4</v>
      </c>
      <c r="X317" s="9">
        <v>0</v>
      </c>
      <c r="Y317" s="9">
        <v>68</v>
      </c>
      <c r="Z317" s="9">
        <v>0</v>
      </c>
    </row>
    <row r="318" spans="1:26" x14ac:dyDescent="0.25">
      <c r="A318" s="9" t="s">
        <v>35</v>
      </c>
      <c r="B318" s="9" t="s">
        <v>30</v>
      </c>
      <c r="C318" s="9">
        <v>8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4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12</v>
      </c>
      <c r="X318" s="9">
        <v>0</v>
      </c>
      <c r="Y318" s="9">
        <v>76</v>
      </c>
      <c r="Z318" s="9">
        <v>0</v>
      </c>
    </row>
    <row r="319" spans="1:26" x14ac:dyDescent="0.25">
      <c r="A319" s="9" t="s">
        <v>35</v>
      </c>
      <c r="B319" s="9" t="s">
        <v>30</v>
      </c>
      <c r="C319" s="9">
        <v>0</v>
      </c>
      <c r="D319" s="9">
        <v>0</v>
      </c>
      <c r="E319" s="9">
        <v>28</v>
      </c>
      <c r="F319" s="9">
        <v>0</v>
      </c>
      <c r="G319" s="9">
        <v>0</v>
      </c>
      <c r="H319" s="9">
        <v>0</v>
      </c>
      <c r="I319" s="9">
        <v>0</v>
      </c>
      <c r="J319" s="9">
        <v>4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68</v>
      </c>
      <c r="Z319" s="9">
        <v>0</v>
      </c>
    </row>
    <row r="320" spans="1:26" x14ac:dyDescent="0.25">
      <c r="A320" s="9" t="s">
        <v>35</v>
      </c>
      <c r="B320" s="9" t="s">
        <v>30</v>
      </c>
      <c r="C320" s="9">
        <v>0</v>
      </c>
      <c r="D320" s="9">
        <v>0</v>
      </c>
      <c r="E320" s="9">
        <v>20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4</v>
      </c>
      <c r="X320" s="9">
        <v>0</v>
      </c>
      <c r="Y320" s="9">
        <v>76</v>
      </c>
      <c r="Z320" s="9">
        <v>0</v>
      </c>
    </row>
    <row r="321" spans="1:26" x14ac:dyDescent="0.25">
      <c r="A321" s="9" t="s">
        <v>35</v>
      </c>
      <c r="B321" s="9" t="s">
        <v>30</v>
      </c>
      <c r="C321" s="9">
        <v>0</v>
      </c>
      <c r="D321" s="9">
        <v>0</v>
      </c>
      <c r="E321" s="9">
        <v>0</v>
      </c>
      <c r="F321" s="9">
        <v>8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8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84</v>
      </c>
      <c r="Z321" s="9">
        <v>0</v>
      </c>
    </row>
    <row r="322" spans="1:26" x14ac:dyDescent="0.25">
      <c r="A322" s="9" t="s">
        <v>35</v>
      </c>
      <c r="B322" s="9" t="s">
        <v>30</v>
      </c>
      <c r="C322" s="9">
        <v>0</v>
      </c>
      <c r="D322" s="9">
        <v>0</v>
      </c>
      <c r="E322" s="9">
        <v>20</v>
      </c>
      <c r="F322" s="9">
        <v>0</v>
      </c>
      <c r="G322" s="9">
        <v>0</v>
      </c>
      <c r="H322" s="9">
        <v>0</v>
      </c>
      <c r="I322" s="9">
        <v>0</v>
      </c>
      <c r="J322" s="9">
        <v>8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72</v>
      </c>
      <c r="Z322" s="9">
        <v>0</v>
      </c>
    </row>
    <row r="323" spans="1:26" x14ac:dyDescent="0.25">
      <c r="A323" s="9" t="s">
        <v>35</v>
      </c>
      <c r="B323" s="9" t="s">
        <v>30</v>
      </c>
      <c r="C323" s="9">
        <v>0</v>
      </c>
      <c r="D323" s="9">
        <v>0</v>
      </c>
      <c r="E323" s="9">
        <v>20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4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20</v>
      </c>
      <c r="X323" s="9">
        <v>0</v>
      </c>
      <c r="Y323" s="9">
        <v>56</v>
      </c>
      <c r="Z323" s="9">
        <v>0</v>
      </c>
    </row>
    <row r="324" spans="1:26" x14ac:dyDescent="0.25">
      <c r="A324" s="9" t="s">
        <v>35</v>
      </c>
      <c r="B324" s="9" t="s">
        <v>30</v>
      </c>
      <c r="C324" s="9">
        <v>0</v>
      </c>
      <c r="D324" s="9">
        <v>0</v>
      </c>
      <c r="E324" s="9">
        <v>24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4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16</v>
      </c>
      <c r="X324" s="9">
        <v>0</v>
      </c>
      <c r="Y324" s="9">
        <v>56</v>
      </c>
      <c r="Z324" s="9">
        <v>0</v>
      </c>
    </row>
    <row r="325" spans="1:26" x14ac:dyDescent="0.25">
      <c r="A325" s="9" t="s">
        <v>35</v>
      </c>
      <c r="B325" s="9" t="s">
        <v>30</v>
      </c>
      <c r="C325" s="9">
        <v>0</v>
      </c>
      <c r="D325" s="9">
        <v>0</v>
      </c>
      <c r="E325" s="9">
        <v>20</v>
      </c>
      <c r="F325" s="9">
        <v>0</v>
      </c>
      <c r="G325" s="9">
        <v>0</v>
      </c>
      <c r="H325" s="9">
        <v>0</v>
      </c>
      <c r="I325" s="9">
        <v>0</v>
      </c>
      <c r="J325" s="9">
        <v>4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76</v>
      </c>
      <c r="Z325" s="9">
        <v>0</v>
      </c>
    </row>
    <row r="326" spans="1:26" x14ac:dyDescent="0.25">
      <c r="A326" s="9" t="s">
        <v>35</v>
      </c>
      <c r="B326" s="9" t="s">
        <v>30</v>
      </c>
      <c r="C326" s="9">
        <v>0</v>
      </c>
      <c r="D326" s="9">
        <v>0</v>
      </c>
      <c r="E326" s="9">
        <v>20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8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16</v>
      </c>
      <c r="X326" s="9">
        <v>0</v>
      </c>
      <c r="Y326" s="9">
        <v>56</v>
      </c>
      <c r="Z326" s="9">
        <v>0</v>
      </c>
    </row>
    <row r="327" spans="1:26" x14ac:dyDescent="0.25">
      <c r="A327" s="9" t="s">
        <v>35</v>
      </c>
      <c r="B327" s="9" t="s">
        <v>30</v>
      </c>
      <c r="C327" s="9">
        <v>0</v>
      </c>
      <c r="D327" s="9">
        <v>0</v>
      </c>
      <c r="E327" s="9">
        <v>20</v>
      </c>
      <c r="F327" s="9">
        <v>0</v>
      </c>
      <c r="G327" s="9">
        <v>0</v>
      </c>
      <c r="H327" s="9">
        <v>0</v>
      </c>
      <c r="I327" s="9">
        <v>0</v>
      </c>
      <c r="J327" s="9">
        <v>8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4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24</v>
      </c>
      <c r="X327" s="9">
        <v>0</v>
      </c>
      <c r="Y327" s="9">
        <v>40</v>
      </c>
      <c r="Z327" s="9">
        <v>4</v>
      </c>
    </row>
    <row r="328" spans="1:26" x14ac:dyDescent="0.25">
      <c r="A328" s="9" t="s">
        <v>35</v>
      </c>
      <c r="B328" s="9" t="s">
        <v>30</v>
      </c>
      <c r="C328" s="9">
        <v>0</v>
      </c>
      <c r="D328" s="9">
        <v>0</v>
      </c>
      <c r="E328" s="9">
        <v>16</v>
      </c>
      <c r="F328" s="9">
        <v>0</v>
      </c>
      <c r="G328" s="9">
        <v>0</v>
      </c>
      <c r="H328" s="9">
        <v>0</v>
      </c>
      <c r="I328" s="9">
        <v>0</v>
      </c>
      <c r="J328" s="9">
        <v>8</v>
      </c>
      <c r="K328" s="9">
        <v>0</v>
      </c>
      <c r="L328" s="9">
        <v>0</v>
      </c>
      <c r="M328" s="9">
        <v>0</v>
      </c>
      <c r="N328" s="9">
        <v>4</v>
      </c>
      <c r="O328" s="9">
        <v>0</v>
      </c>
      <c r="P328" s="9">
        <v>0</v>
      </c>
      <c r="Q328" s="9">
        <v>4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16</v>
      </c>
      <c r="X328" s="9">
        <v>4</v>
      </c>
      <c r="Y328" s="9">
        <v>48</v>
      </c>
      <c r="Z328" s="9">
        <v>0</v>
      </c>
    </row>
    <row r="329" spans="1:26" x14ac:dyDescent="0.25">
      <c r="A329" s="9" t="s">
        <v>35</v>
      </c>
      <c r="B329" s="9" t="s">
        <v>30</v>
      </c>
      <c r="C329" s="9">
        <v>0</v>
      </c>
      <c r="D329" s="9">
        <v>0</v>
      </c>
      <c r="E329" s="9">
        <v>20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4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16</v>
      </c>
      <c r="X329" s="9">
        <v>0</v>
      </c>
      <c r="Y329" s="9">
        <v>60</v>
      </c>
      <c r="Z329" s="9">
        <v>0</v>
      </c>
    </row>
    <row r="330" spans="1:26" x14ac:dyDescent="0.25">
      <c r="A330" s="9" t="s">
        <v>35</v>
      </c>
      <c r="B330" s="9" t="s">
        <v>30</v>
      </c>
      <c r="C330" s="9">
        <v>0</v>
      </c>
      <c r="D330" s="9">
        <v>0</v>
      </c>
      <c r="E330" s="9">
        <v>32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4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64</v>
      </c>
      <c r="Z330" s="9">
        <v>0</v>
      </c>
    </row>
    <row r="331" spans="1:26" x14ac:dyDescent="0.25">
      <c r="A331" s="9" t="s">
        <v>35</v>
      </c>
      <c r="B331" s="9" t="s">
        <v>30</v>
      </c>
      <c r="C331" s="9">
        <v>0</v>
      </c>
      <c r="D331" s="9">
        <v>0</v>
      </c>
      <c r="E331" s="9">
        <v>16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84</v>
      </c>
      <c r="Z331" s="9">
        <v>0</v>
      </c>
    </row>
    <row r="332" spans="1:26" x14ac:dyDescent="0.25">
      <c r="A332" s="9" t="s">
        <v>35</v>
      </c>
      <c r="B332" s="9" t="s">
        <v>31</v>
      </c>
      <c r="C332" s="9">
        <v>0</v>
      </c>
      <c r="D332" s="9">
        <v>0</v>
      </c>
      <c r="E332" s="9">
        <v>8</v>
      </c>
      <c r="F332" s="9">
        <v>0</v>
      </c>
      <c r="G332" s="9">
        <v>0</v>
      </c>
      <c r="H332" s="9">
        <v>0</v>
      </c>
      <c r="I332" s="9">
        <v>0</v>
      </c>
      <c r="J332" s="9">
        <v>4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4</v>
      </c>
      <c r="X332" s="9">
        <v>0</v>
      </c>
      <c r="Y332" s="9">
        <v>84</v>
      </c>
      <c r="Z332" s="9">
        <v>0</v>
      </c>
    </row>
    <row r="333" spans="1:26" x14ac:dyDescent="0.25">
      <c r="A333" s="9" t="s">
        <v>35</v>
      </c>
      <c r="B333" s="9" t="s">
        <v>31</v>
      </c>
      <c r="C333" s="9">
        <v>0</v>
      </c>
      <c r="D333" s="9">
        <v>0</v>
      </c>
      <c r="E333" s="9">
        <v>52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4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4</v>
      </c>
      <c r="X333" s="9">
        <v>4</v>
      </c>
      <c r="Y333" s="9">
        <v>36</v>
      </c>
      <c r="Z333" s="9">
        <v>0</v>
      </c>
    </row>
    <row r="334" spans="1:26" x14ac:dyDescent="0.25">
      <c r="A334" s="9" t="s">
        <v>35</v>
      </c>
      <c r="B334" s="9" t="s">
        <v>31</v>
      </c>
      <c r="C334" s="9">
        <v>0</v>
      </c>
      <c r="D334" s="9">
        <v>0</v>
      </c>
      <c r="E334" s="9">
        <v>12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8</v>
      </c>
      <c r="X334" s="9">
        <v>0</v>
      </c>
      <c r="Y334" s="9">
        <v>80</v>
      </c>
      <c r="Z334" s="9">
        <v>0</v>
      </c>
    </row>
    <row r="335" spans="1:26" x14ac:dyDescent="0.25">
      <c r="A335" s="9" t="s">
        <v>35</v>
      </c>
      <c r="B335" s="9" t="s">
        <v>31</v>
      </c>
      <c r="C335" s="9">
        <v>0</v>
      </c>
      <c r="D335" s="9">
        <v>0</v>
      </c>
      <c r="E335" s="9">
        <v>40</v>
      </c>
      <c r="F335" s="9">
        <v>0</v>
      </c>
      <c r="G335" s="9">
        <v>0</v>
      </c>
      <c r="H335" s="9">
        <v>0</v>
      </c>
      <c r="I335" s="9">
        <v>0</v>
      </c>
      <c r="J335" s="9">
        <v>4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16</v>
      </c>
      <c r="X335" s="9">
        <v>0</v>
      </c>
      <c r="Y335" s="9">
        <v>40</v>
      </c>
      <c r="Z335" s="9">
        <v>0</v>
      </c>
    </row>
    <row r="336" spans="1:26" x14ac:dyDescent="0.25">
      <c r="A336" s="9" t="s">
        <v>35</v>
      </c>
      <c r="B336" s="9" t="s">
        <v>31</v>
      </c>
      <c r="C336" s="9">
        <v>0</v>
      </c>
      <c r="D336" s="9">
        <v>0</v>
      </c>
      <c r="E336" s="9">
        <v>36</v>
      </c>
      <c r="F336" s="9">
        <v>0</v>
      </c>
      <c r="G336" s="9">
        <v>0</v>
      </c>
      <c r="H336" s="9">
        <v>0</v>
      </c>
      <c r="I336" s="9">
        <v>0</v>
      </c>
      <c r="J336" s="9">
        <v>16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12</v>
      </c>
      <c r="X336" s="9">
        <v>0</v>
      </c>
      <c r="Y336" s="9">
        <v>32</v>
      </c>
      <c r="Z336" s="9">
        <v>4</v>
      </c>
    </row>
    <row r="337" spans="1:26" x14ac:dyDescent="0.25">
      <c r="A337" s="9" t="s">
        <v>35</v>
      </c>
      <c r="B337" s="9" t="s">
        <v>31</v>
      </c>
      <c r="C337" s="9">
        <v>8</v>
      </c>
      <c r="D337" s="9">
        <v>0</v>
      </c>
      <c r="E337" s="9">
        <v>16</v>
      </c>
      <c r="F337" s="9">
        <v>0</v>
      </c>
      <c r="G337" s="9">
        <v>0</v>
      </c>
      <c r="H337" s="9">
        <v>0</v>
      </c>
      <c r="I337" s="9">
        <v>0</v>
      </c>
      <c r="J337" s="9">
        <v>4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4</v>
      </c>
      <c r="X337" s="9">
        <v>0</v>
      </c>
      <c r="Y337" s="9">
        <v>68</v>
      </c>
      <c r="Z337" s="9">
        <v>0</v>
      </c>
    </row>
    <row r="338" spans="1:26" x14ac:dyDescent="0.25">
      <c r="A338" s="9" t="s">
        <v>35</v>
      </c>
      <c r="B338" s="9" t="s">
        <v>31</v>
      </c>
      <c r="C338" s="9">
        <v>0</v>
      </c>
      <c r="D338" s="9">
        <v>0</v>
      </c>
      <c r="E338" s="9">
        <v>4</v>
      </c>
      <c r="F338" s="9">
        <v>0</v>
      </c>
      <c r="G338" s="9">
        <v>0</v>
      </c>
      <c r="H338" s="9">
        <v>0</v>
      </c>
      <c r="I338" s="9">
        <v>0</v>
      </c>
      <c r="J338" s="9">
        <v>4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40</v>
      </c>
      <c r="X338" s="9">
        <v>0</v>
      </c>
      <c r="Y338" s="9">
        <v>48</v>
      </c>
      <c r="Z338" s="9">
        <v>4</v>
      </c>
    </row>
    <row r="339" spans="1:26" x14ac:dyDescent="0.25">
      <c r="A339" s="9" t="s">
        <v>35</v>
      </c>
      <c r="B339" s="9" t="s">
        <v>31</v>
      </c>
      <c r="C339" s="9">
        <v>0</v>
      </c>
      <c r="D339" s="9">
        <v>0</v>
      </c>
      <c r="E339" s="9">
        <v>16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16</v>
      </c>
      <c r="X339" s="9">
        <v>0</v>
      </c>
      <c r="Y339" s="9">
        <v>68</v>
      </c>
      <c r="Z339" s="9">
        <v>0</v>
      </c>
    </row>
    <row r="340" spans="1:26" x14ac:dyDescent="0.25">
      <c r="A340" s="9" t="s">
        <v>35</v>
      </c>
      <c r="B340" s="9" t="s">
        <v>31</v>
      </c>
      <c r="C340" s="9">
        <v>0</v>
      </c>
      <c r="D340" s="9">
        <v>0</v>
      </c>
      <c r="E340" s="9">
        <v>16</v>
      </c>
      <c r="F340" s="9">
        <v>0</v>
      </c>
      <c r="G340" s="9">
        <v>0</v>
      </c>
      <c r="H340" s="9">
        <v>0</v>
      </c>
      <c r="I340" s="9">
        <v>0</v>
      </c>
      <c r="J340" s="9">
        <v>4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4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8</v>
      </c>
      <c r="X340" s="9">
        <v>0</v>
      </c>
      <c r="Y340" s="9">
        <v>68</v>
      </c>
      <c r="Z340" s="9">
        <v>0</v>
      </c>
    </row>
    <row r="341" spans="1:26" x14ac:dyDescent="0.25">
      <c r="A341" s="9" t="s">
        <v>35</v>
      </c>
      <c r="B341" s="9" t="s">
        <v>31</v>
      </c>
      <c r="C341" s="9">
        <v>0</v>
      </c>
      <c r="D341" s="9">
        <v>0</v>
      </c>
      <c r="E341" s="9">
        <v>16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8</v>
      </c>
      <c r="N341" s="9">
        <v>24</v>
      </c>
      <c r="O341" s="9">
        <v>0</v>
      </c>
      <c r="P341" s="9">
        <v>0</v>
      </c>
      <c r="Q341" s="9">
        <v>4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44</v>
      </c>
      <c r="Z341" s="9">
        <v>4</v>
      </c>
    </row>
    <row r="342" spans="1:26" x14ac:dyDescent="0.25">
      <c r="A342" s="9" t="s">
        <v>35</v>
      </c>
      <c r="B342" s="9" t="s">
        <v>31</v>
      </c>
      <c r="C342" s="9">
        <v>0</v>
      </c>
      <c r="D342" s="9">
        <v>0</v>
      </c>
      <c r="E342" s="9">
        <v>16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4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80</v>
      </c>
      <c r="Z342" s="9">
        <v>0</v>
      </c>
    </row>
    <row r="343" spans="1:26" x14ac:dyDescent="0.25">
      <c r="A343" s="9" t="s">
        <v>35</v>
      </c>
      <c r="B343" s="9" t="s">
        <v>31</v>
      </c>
      <c r="C343" s="9">
        <v>0</v>
      </c>
      <c r="D343" s="9">
        <v>0</v>
      </c>
      <c r="E343" s="9">
        <v>8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8</v>
      </c>
      <c r="W343" s="9">
        <v>0</v>
      </c>
      <c r="X343" s="9">
        <v>4</v>
      </c>
      <c r="Y343" s="9">
        <v>80</v>
      </c>
      <c r="Z343" s="9">
        <v>0</v>
      </c>
    </row>
    <row r="344" spans="1:26" x14ac:dyDescent="0.25">
      <c r="A344" s="9" t="s">
        <v>35</v>
      </c>
      <c r="B344" s="9" t="s">
        <v>31</v>
      </c>
      <c r="C344" s="9">
        <v>0</v>
      </c>
      <c r="D344" s="9">
        <v>0</v>
      </c>
      <c r="E344" s="9">
        <v>28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4</v>
      </c>
      <c r="Y344" s="9">
        <v>64</v>
      </c>
      <c r="Z344" s="9">
        <v>4</v>
      </c>
    </row>
    <row r="345" spans="1:26" x14ac:dyDescent="0.25">
      <c r="A345" s="9" t="s">
        <v>35</v>
      </c>
      <c r="B345" s="9" t="s">
        <v>31</v>
      </c>
      <c r="C345" s="9">
        <v>0</v>
      </c>
      <c r="D345" s="9">
        <v>0</v>
      </c>
      <c r="E345" s="9">
        <v>32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8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12</v>
      </c>
      <c r="X345" s="9">
        <v>0</v>
      </c>
      <c r="Y345" s="9">
        <v>48</v>
      </c>
      <c r="Z345" s="9">
        <v>0</v>
      </c>
    </row>
    <row r="346" spans="1:26" x14ac:dyDescent="0.25">
      <c r="A346" s="9" t="s">
        <v>35</v>
      </c>
      <c r="B346" s="9" t="s">
        <v>31</v>
      </c>
      <c r="C346" s="9">
        <v>0</v>
      </c>
      <c r="D346" s="9">
        <v>0</v>
      </c>
      <c r="E346" s="9">
        <v>24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76</v>
      </c>
      <c r="Z346" s="9">
        <v>0</v>
      </c>
    </row>
    <row r="347" spans="1:26" x14ac:dyDescent="0.25">
      <c r="A347" s="9" t="s">
        <v>35</v>
      </c>
      <c r="B347" s="9" t="s">
        <v>32</v>
      </c>
      <c r="C347" s="9">
        <v>0</v>
      </c>
      <c r="D347" s="9">
        <v>0</v>
      </c>
      <c r="E347" s="9">
        <v>16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12</v>
      </c>
      <c r="W347" s="9">
        <v>4</v>
      </c>
      <c r="X347" s="9">
        <v>0</v>
      </c>
      <c r="Y347" s="9">
        <v>68</v>
      </c>
      <c r="Z347" s="9">
        <v>0</v>
      </c>
    </row>
    <row r="348" spans="1:26" x14ac:dyDescent="0.25">
      <c r="A348" s="9" t="s">
        <v>35</v>
      </c>
      <c r="B348" s="9" t="s">
        <v>32</v>
      </c>
      <c r="C348" s="9">
        <v>0</v>
      </c>
      <c r="D348" s="9">
        <v>0</v>
      </c>
      <c r="E348" s="9">
        <v>4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4</v>
      </c>
      <c r="R348" s="9">
        <v>0</v>
      </c>
      <c r="S348" s="9">
        <v>0</v>
      </c>
      <c r="T348" s="9">
        <v>0</v>
      </c>
      <c r="U348" s="9">
        <v>0</v>
      </c>
      <c r="V348" s="9">
        <v>8</v>
      </c>
      <c r="W348" s="9">
        <v>0</v>
      </c>
      <c r="X348" s="9">
        <v>0</v>
      </c>
      <c r="Y348" s="9">
        <v>84</v>
      </c>
      <c r="Z348" s="9">
        <v>0</v>
      </c>
    </row>
    <row r="349" spans="1:26" x14ac:dyDescent="0.25">
      <c r="A349" s="9" t="s">
        <v>35</v>
      </c>
      <c r="B349" s="9" t="s">
        <v>32</v>
      </c>
      <c r="C349" s="9">
        <v>0</v>
      </c>
      <c r="D349" s="9">
        <v>0</v>
      </c>
      <c r="E349" s="9">
        <v>44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12</v>
      </c>
      <c r="W349" s="9">
        <v>0</v>
      </c>
      <c r="X349" s="9">
        <v>0</v>
      </c>
      <c r="Y349" s="9">
        <v>44</v>
      </c>
      <c r="Z349" s="9">
        <v>0</v>
      </c>
    </row>
    <row r="350" spans="1:26" x14ac:dyDescent="0.25">
      <c r="A350" s="9" t="s">
        <v>35</v>
      </c>
      <c r="B350" s="9" t="s">
        <v>32</v>
      </c>
      <c r="C350" s="9">
        <v>0</v>
      </c>
      <c r="D350" s="9">
        <v>0</v>
      </c>
      <c r="E350" s="9">
        <v>12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4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4</v>
      </c>
      <c r="X350" s="9">
        <v>0</v>
      </c>
      <c r="Y350" s="9">
        <v>80</v>
      </c>
      <c r="Z350" s="9">
        <v>0</v>
      </c>
    </row>
    <row r="351" spans="1:26" x14ac:dyDescent="0.25">
      <c r="A351" s="9" t="s">
        <v>35</v>
      </c>
      <c r="B351" s="9" t="s">
        <v>32</v>
      </c>
      <c r="C351" s="9">
        <v>0</v>
      </c>
      <c r="D351" s="9">
        <v>0</v>
      </c>
      <c r="E351" s="9">
        <v>20</v>
      </c>
      <c r="F351" s="9">
        <v>0</v>
      </c>
      <c r="G351" s="9">
        <v>0</v>
      </c>
      <c r="H351" s="9">
        <v>0</v>
      </c>
      <c r="I351" s="9">
        <v>0</v>
      </c>
      <c r="J351" s="9">
        <v>4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4</v>
      </c>
      <c r="R351" s="9">
        <v>0</v>
      </c>
      <c r="S351" s="9">
        <v>8</v>
      </c>
      <c r="T351" s="9">
        <v>0</v>
      </c>
      <c r="U351" s="9">
        <v>0</v>
      </c>
      <c r="V351" s="9">
        <v>0</v>
      </c>
      <c r="W351" s="9">
        <v>4</v>
      </c>
      <c r="X351" s="9">
        <v>4</v>
      </c>
      <c r="Y351" s="9">
        <v>52</v>
      </c>
      <c r="Z351" s="9">
        <v>4</v>
      </c>
    </row>
    <row r="352" spans="1:26" x14ac:dyDescent="0.25">
      <c r="A352" s="9" t="s">
        <v>35</v>
      </c>
      <c r="B352" s="9" t="s">
        <v>32</v>
      </c>
      <c r="C352" s="9">
        <v>0</v>
      </c>
      <c r="D352" s="9">
        <v>0</v>
      </c>
      <c r="E352" s="9">
        <v>24</v>
      </c>
      <c r="F352" s="9">
        <v>0</v>
      </c>
      <c r="G352" s="9">
        <v>0</v>
      </c>
      <c r="H352" s="9">
        <v>0</v>
      </c>
      <c r="I352" s="9">
        <v>0</v>
      </c>
      <c r="J352" s="9">
        <v>4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44</v>
      </c>
      <c r="X352" s="9">
        <v>0</v>
      </c>
      <c r="Y352" s="9">
        <v>24</v>
      </c>
      <c r="Z352" s="9">
        <v>4</v>
      </c>
    </row>
    <row r="353" spans="1:26" x14ac:dyDescent="0.25">
      <c r="A353" s="9" t="s">
        <v>35</v>
      </c>
      <c r="B353" s="9" t="s">
        <v>32</v>
      </c>
      <c r="C353" s="9">
        <v>0</v>
      </c>
      <c r="D353" s="9">
        <v>0</v>
      </c>
      <c r="E353" s="9">
        <v>16</v>
      </c>
      <c r="F353" s="9">
        <v>0</v>
      </c>
      <c r="G353" s="9">
        <v>0</v>
      </c>
      <c r="H353" s="9">
        <v>0</v>
      </c>
      <c r="I353" s="9">
        <v>0</v>
      </c>
      <c r="J353" s="9">
        <v>4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24</v>
      </c>
      <c r="X353" s="9">
        <v>0</v>
      </c>
      <c r="Y353" s="9">
        <v>56</v>
      </c>
      <c r="Z353" s="9">
        <v>0</v>
      </c>
    </row>
    <row r="354" spans="1:26" x14ac:dyDescent="0.25">
      <c r="A354" s="9" t="s">
        <v>35</v>
      </c>
      <c r="B354" s="9" t="s">
        <v>32</v>
      </c>
      <c r="C354" s="9">
        <v>0</v>
      </c>
      <c r="D354" s="9">
        <v>0</v>
      </c>
      <c r="E354" s="9">
        <v>16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4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80</v>
      </c>
      <c r="Z354" s="9">
        <v>0</v>
      </c>
    </row>
    <row r="355" spans="1:26" x14ac:dyDescent="0.25">
      <c r="A355" s="9" t="s">
        <v>35</v>
      </c>
      <c r="B355" s="9" t="s">
        <v>32</v>
      </c>
      <c r="C355" s="9">
        <v>0</v>
      </c>
      <c r="D355" s="9">
        <v>0</v>
      </c>
      <c r="E355" s="9">
        <v>28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16</v>
      </c>
      <c r="X355" s="9">
        <v>0</v>
      </c>
      <c r="Y355" s="9">
        <v>56</v>
      </c>
      <c r="Z355" s="9">
        <v>0</v>
      </c>
    </row>
    <row r="356" spans="1:26" x14ac:dyDescent="0.25">
      <c r="A356" s="9" t="s">
        <v>35</v>
      </c>
      <c r="B356" s="9" t="s">
        <v>32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16</v>
      </c>
      <c r="W356" s="9">
        <v>0</v>
      </c>
      <c r="X356" s="9">
        <v>0</v>
      </c>
      <c r="Y356" s="9">
        <v>84</v>
      </c>
      <c r="Z356" s="9">
        <v>0</v>
      </c>
    </row>
    <row r="357" spans="1:26" x14ac:dyDescent="0.25">
      <c r="A357" s="9" t="s">
        <v>35</v>
      </c>
      <c r="B357" s="9" t="s">
        <v>32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8</v>
      </c>
      <c r="W357" s="9">
        <v>0</v>
      </c>
      <c r="X357" s="9">
        <v>0</v>
      </c>
      <c r="Y357" s="9">
        <v>84</v>
      </c>
      <c r="Z357" s="9">
        <v>8</v>
      </c>
    </row>
    <row r="358" spans="1:26" x14ac:dyDescent="0.25">
      <c r="A358" s="9" t="s">
        <v>35</v>
      </c>
      <c r="B358" s="9" t="s">
        <v>32</v>
      </c>
      <c r="C358" s="9">
        <v>0</v>
      </c>
      <c r="D358" s="9">
        <v>0</v>
      </c>
      <c r="E358" s="9">
        <v>12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8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8</v>
      </c>
      <c r="X358" s="9">
        <v>0</v>
      </c>
      <c r="Y358" s="9">
        <v>72</v>
      </c>
      <c r="Z358" s="9">
        <v>0</v>
      </c>
    </row>
    <row r="359" spans="1:26" x14ac:dyDescent="0.25">
      <c r="A359" s="9" t="s">
        <v>35</v>
      </c>
      <c r="B359" s="9" t="s">
        <v>32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8</v>
      </c>
      <c r="X359" s="9">
        <v>0</v>
      </c>
      <c r="Y359" s="9">
        <v>92</v>
      </c>
      <c r="Z359" s="9">
        <v>0</v>
      </c>
    </row>
    <row r="360" spans="1:26" x14ac:dyDescent="0.25">
      <c r="A360" s="9" t="s">
        <v>35</v>
      </c>
      <c r="B360" s="9" t="s">
        <v>32</v>
      </c>
      <c r="C360" s="9">
        <v>0</v>
      </c>
      <c r="D360" s="9">
        <v>0</v>
      </c>
      <c r="E360" s="9">
        <v>20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4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4</v>
      </c>
      <c r="X360" s="9">
        <v>0</v>
      </c>
      <c r="Y360" s="9">
        <v>64</v>
      </c>
      <c r="Z360" s="9">
        <v>8</v>
      </c>
    </row>
    <row r="361" spans="1:26" x14ac:dyDescent="0.25">
      <c r="A361" s="9" t="s">
        <v>35</v>
      </c>
      <c r="B361" s="9" t="s">
        <v>32</v>
      </c>
      <c r="C361" s="9">
        <v>0</v>
      </c>
      <c r="D361" s="9">
        <v>0</v>
      </c>
      <c r="E361" s="9">
        <v>16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12</v>
      </c>
      <c r="X361" s="9">
        <v>0</v>
      </c>
      <c r="Y361" s="9">
        <v>72</v>
      </c>
      <c r="Z361" s="9">
        <v>0</v>
      </c>
    </row>
    <row r="362" spans="1:26" x14ac:dyDescent="0.25">
      <c r="A362" s="9" t="s">
        <v>36</v>
      </c>
      <c r="B362" s="9" t="s">
        <v>27</v>
      </c>
      <c r="C362" s="9">
        <v>0</v>
      </c>
      <c r="D362" s="9">
        <v>0</v>
      </c>
      <c r="E362" s="9">
        <v>12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8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32</v>
      </c>
      <c r="X362" s="9">
        <v>12</v>
      </c>
      <c r="Y362" s="9">
        <v>28</v>
      </c>
      <c r="Z362" s="9">
        <v>8</v>
      </c>
    </row>
    <row r="363" spans="1:26" x14ac:dyDescent="0.25">
      <c r="A363" s="9" t="s">
        <v>36</v>
      </c>
      <c r="B363" s="9" t="s">
        <v>27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4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8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32</v>
      </c>
      <c r="X363" s="9">
        <v>0</v>
      </c>
      <c r="Y363" s="9">
        <v>56</v>
      </c>
      <c r="Z363" s="9">
        <v>0</v>
      </c>
    </row>
    <row r="364" spans="1:26" x14ac:dyDescent="0.25">
      <c r="A364" s="9" t="s">
        <v>36</v>
      </c>
      <c r="B364" s="9" t="s">
        <v>27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4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40</v>
      </c>
      <c r="X364" s="9">
        <v>12</v>
      </c>
      <c r="Y364" s="9">
        <v>36</v>
      </c>
      <c r="Z364" s="9">
        <v>8</v>
      </c>
    </row>
    <row r="365" spans="1:26" x14ac:dyDescent="0.25">
      <c r="A365" s="9" t="s">
        <v>36</v>
      </c>
      <c r="B365" s="9" t="s">
        <v>27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4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20</v>
      </c>
      <c r="X365" s="9">
        <v>8</v>
      </c>
      <c r="Y365" s="9">
        <v>64</v>
      </c>
      <c r="Z365" s="9">
        <v>4</v>
      </c>
    </row>
    <row r="366" spans="1:26" x14ac:dyDescent="0.25">
      <c r="A366" s="9" t="s">
        <v>36</v>
      </c>
      <c r="B366" s="9" t="s">
        <v>27</v>
      </c>
      <c r="C366" s="9">
        <v>0</v>
      </c>
      <c r="D366" s="9">
        <v>0</v>
      </c>
      <c r="E366" s="9">
        <v>0</v>
      </c>
      <c r="F366" s="9">
        <v>12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72</v>
      </c>
      <c r="X366" s="9">
        <v>0</v>
      </c>
      <c r="Y366" s="9">
        <v>16</v>
      </c>
      <c r="Z366" s="9">
        <v>0</v>
      </c>
    </row>
    <row r="367" spans="1:26" x14ac:dyDescent="0.25">
      <c r="A367" s="9" t="s">
        <v>36</v>
      </c>
      <c r="B367" s="9" t="s">
        <v>27</v>
      </c>
      <c r="C367" s="9">
        <v>0</v>
      </c>
      <c r="D367" s="9">
        <v>0</v>
      </c>
      <c r="E367" s="9">
        <v>8</v>
      </c>
      <c r="F367" s="9">
        <v>0</v>
      </c>
      <c r="G367" s="9">
        <v>0</v>
      </c>
      <c r="H367" s="9">
        <v>0</v>
      </c>
      <c r="I367" s="9">
        <v>0</v>
      </c>
      <c r="J367" s="9">
        <v>8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24</v>
      </c>
      <c r="X367" s="9">
        <v>0</v>
      </c>
      <c r="Y367" s="9">
        <v>60</v>
      </c>
      <c r="Z367" s="9">
        <v>0</v>
      </c>
    </row>
    <row r="368" spans="1:26" x14ac:dyDescent="0.25">
      <c r="A368" s="9" t="s">
        <v>36</v>
      </c>
      <c r="B368" s="9" t="s">
        <v>27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4</v>
      </c>
      <c r="X368" s="9">
        <v>0</v>
      </c>
      <c r="Y368" s="9">
        <v>92</v>
      </c>
      <c r="Z368" s="9">
        <v>4</v>
      </c>
    </row>
    <row r="369" spans="1:26" x14ac:dyDescent="0.25">
      <c r="A369" s="9" t="s">
        <v>36</v>
      </c>
      <c r="B369" s="9" t="s">
        <v>27</v>
      </c>
      <c r="C369" s="9">
        <v>0</v>
      </c>
      <c r="D369" s="9">
        <v>0</v>
      </c>
      <c r="E369" s="9">
        <v>20</v>
      </c>
      <c r="F369" s="9">
        <v>0</v>
      </c>
      <c r="G369" s="9">
        <v>0</v>
      </c>
      <c r="H369" s="9">
        <v>0</v>
      </c>
      <c r="I369" s="9">
        <v>4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8</v>
      </c>
      <c r="X369" s="9">
        <v>0</v>
      </c>
      <c r="Y369" s="9">
        <v>68</v>
      </c>
      <c r="Z369" s="9">
        <v>0</v>
      </c>
    </row>
    <row r="370" spans="1:26" x14ac:dyDescent="0.25">
      <c r="A370" s="9" t="s">
        <v>36</v>
      </c>
      <c r="B370" s="9" t="s">
        <v>27</v>
      </c>
      <c r="C370" s="9">
        <v>0</v>
      </c>
      <c r="D370" s="9">
        <v>0</v>
      </c>
      <c r="E370" s="9">
        <v>20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4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76</v>
      </c>
      <c r="Z370" s="9">
        <v>0</v>
      </c>
    </row>
    <row r="371" spans="1:26" x14ac:dyDescent="0.25">
      <c r="A371" s="9" t="s">
        <v>36</v>
      </c>
      <c r="B371" s="9" t="s">
        <v>27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4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8</v>
      </c>
      <c r="X371" s="9">
        <v>0</v>
      </c>
      <c r="Y371" s="9">
        <v>88</v>
      </c>
      <c r="Z371" s="9">
        <v>0</v>
      </c>
    </row>
    <row r="372" spans="1:26" x14ac:dyDescent="0.25">
      <c r="A372" s="9" t="s">
        <v>36</v>
      </c>
      <c r="B372" s="9" t="s">
        <v>27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12</v>
      </c>
      <c r="X372" s="9">
        <v>0</v>
      </c>
      <c r="Y372" s="9">
        <v>88</v>
      </c>
      <c r="Z372" s="9">
        <v>0</v>
      </c>
    </row>
    <row r="373" spans="1:26" x14ac:dyDescent="0.25">
      <c r="A373" s="9" t="s">
        <v>36</v>
      </c>
      <c r="B373" s="9" t="s">
        <v>27</v>
      </c>
      <c r="C373" s="9">
        <v>0</v>
      </c>
      <c r="D373" s="9">
        <v>0</v>
      </c>
      <c r="E373" s="9">
        <v>28</v>
      </c>
      <c r="F373" s="9">
        <v>0</v>
      </c>
      <c r="G373" s="9">
        <v>0</v>
      </c>
      <c r="H373" s="9">
        <v>0</v>
      </c>
      <c r="I373" s="9">
        <v>0</v>
      </c>
      <c r="J373" s="9">
        <v>4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28</v>
      </c>
      <c r="X373" s="9">
        <v>0</v>
      </c>
      <c r="Y373" s="9">
        <v>40</v>
      </c>
      <c r="Z373" s="9">
        <v>0</v>
      </c>
    </row>
    <row r="374" spans="1:26" x14ac:dyDescent="0.25">
      <c r="A374" s="9" t="s">
        <v>36</v>
      </c>
      <c r="B374" s="9" t="s">
        <v>27</v>
      </c>
      <c r="C374" s="9">
        <v>0</v>
      </c>
      <c r="D374" s="9">
        <v>0</v>
      </c>
      <c r="E374" s="9">
        <v>36</v>
      </c>
      <c r="F374" s="9">
        <v>0</v>
      </c>
      <c r="G374" s="9">
        <v>0</v>
      </c>
      <c r="H374" s="9">
        <v>0</v>
      </c>
      <c r="I374" s="9">
        <v>0</v>
      </c>
      <c r="J374" s="9">
        <v>4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4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20</v>
      </c>
      <c r="X374" s="9">
        <v>8</v>
      </c>
      <c r="Y374" s="9">
        <v>28</v>
      </c>
      <c r="Z374" s="9">
        <v>0</v>
      </c>
    </row>
    <row r="375" spans="1:26" x14ac:dyDescent="0.25">
      <c r="A375" s="9" t="s">
        <v>36</v>
      </c>
      <c r="B375" s="9" t="s">
        <v>27</v>
      </c>
      <c r="C375" s="9">
        <v>20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4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4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40</v>
      </c>
      <c r="X375" s="9">
        <v>16</v>
      </c>
      <c r="Y375" s="9">
        <v>12</v>
      </c>
      <c r="Z375" s="9">
        <v>4</v>
      </c>
    </row>
    <row r="376" spans="1:26" x14ac:dyDescent="0.25">
      <c r="A376" s="9" t="s">
        <v>36</v>
      </c>
      <c r="B376" s="9" t="s">
        <v>27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4</v>
      </c>
      <c r="X376" s="9">
        <v>4</v>
      </c>
      <c r="Y376" s="9">
        <v>88</v>
      </c>
      <c r="Z376" s="9">
        <v>4</v>
      </c>
    </row>
    <row r="377" spans="1:26" x14ac:dyDescent="0.25">
      <c r="A377" s="9" t="s">
        <v>36</v>
      </c>
      <c r="B377" s="9" t="s">
        <v>28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4</v>
      </c>
      <c r="R377" s="9">
        <v>0</v>
      </c>
      <c r="S377" s="9">
        <v>0</v>
      </c>
      <c r="T377" s="9">
        <v>4</v>
      </c>
      <c r="U377" s="9">
        <v>0</v>
      </c>
      <c r="V377" s="9">
        <v>0</v>
      </c>
      <c r="W377" s="9">
        <v>8</v>
      </c>
      <c r="X377" s="9">
        <v>0</v>
      </c>
      <c r="Y377" s="9">
        <v>84</v>
      </c>
      <c r="Z377" s="9">
        <v>0</v>
      </c>
    </row>
    <row r="378" spans="1:26" x14ac:dyDescent="0.25">
      <c r="A378" s="9" t="s">
        <v>36</v>
      </c>
      <c r="B378" s="9" t="s">
        <v>28</v>
      </c>
      <c r="C378" s="9">
        <v>0</v>
      </c>
      <c r="D378" s="9">
        <v>0</v>
      </c>
      <c r="E378" s="9">
        <v>8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4</v>
      </c>
      <c r="U378" s="9">
        <v>0</v>
      </c>
      <c r="V378" s="9">
        <v>0</v>
      </c>
      <c r="W378" s="9">
        <v>20</v>
      </c>
      <c r="X378" s="9">
        <v>4</v>
      </c>
      <c r="Y378" s="9">
        <v>60</v>
      </c>
      <c r="Z378" s="9">
        <v>4</v>
      </c>
    </row>
    <row r="379" spans="1:26" x14ac:dyDescent="0.25">
      <c r="A379" s="9" t="s">
        <v>36</v>
      </c>
      <c r="B379" s="9" t="s">
        <v>28</v>
      </c>
      <c r="C379" s="9">
        <v>0</v>
      </c>
      <c r="D379" s="9">
        <v>0</v>
      </c>
      <c r="E379" s="9">
        <v>12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12</v>
      </c>
      <c r="X379" s="9">
        <v>8</v>
      </c>
      <c r="Y379" s="9">
        <v>68</v>
      </c>
      <c r="Z379" s="9">
        <v>0</v>
      </c>
    </row>
    <row r="380" spans="1:26" x14ac:dyDescent="0.25">
      <c r="A380" s="9" t="s">
        <v>36</v>
      </c>
      <c r="B380" s="9" t="s">
        <v>28</v>
      </c>
      <c r="C380" s="9">
        <v>0</v>
      </c>
      <c r="D380" s="9">
        <v>0</v>
      </c>
      <c r="E380" s="9">
        <v>4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8</v>
      </c>
      <c r="O380" s="9">
        <v>0</v>
      </c>
      <c r="P380" s="9">
        <v>0</v>
      </c>
      <c r="Q380" s="9">
        <v>4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16</v>
      </c>
      <c r="X380" s="9">
        <v>8</v>
      </c>
      <c r="Y380" s="9">
        <v>60</v>
      </c>
      <c r="Z380" s="9">
        <v>0</v>
      </c>
    </row>
    <row r="381" spans="1:26" x14ac:dyDescent="0.25">
      <c r="A381" s="9" t="s">
        <v>36</v>
      </c>
      <c r="B381" s="9" t="s">
        <v>28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4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4</v>
      </c>
      <c r="X381" s="9">
        <v>8</v>
      </c>
      <c r="Y381" s="9">
        <v>84</v>
      </c>
      <c r="Z381" s="9">
        <v>0</v>
      </c>
    </row>
    <row r="382" spans="1:26" x14ac:dyDescent="0.25">
      <c r="A382" s="9" t="s">
        <v>36</v>
      </c>
      <c r="B382" s="9" t="s">
        <v>28</v>
      </c>
      <c r="C382" s="9">
        <v>0</v>
      </c>
      <c r="D382" s="9">
        <v>0</v>
      </c>
      <c r="E382" s="9">
        <v>12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4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24</v>
      </c>
      <c r="X382" s="9">
        <v>4</v>
      </c>
      <c r="Y382" s="9">
        <v>52</v>
      </c>
      <c r="Z382" s="9">
        <v>4</v>
      </c>
    </row>
    <row r="383" spans="1:26" x14ac:dyDescent="0.25">
      <c r="A383" s="9" t="s">
        <v>36</v>
      </c>
      <c r="B383" s="9" t="s">
        <v>28</v>
      </c>
      <c r="C383" s="9">
        <v>0</v>
      </c>
      <c r="D383" s="9">
        <v>0</v>
      </c>
      <c r="E383" s="9">
        <v>20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16</v>
      </c>
      <c r="X383" s="9">
        <v>0</v>
      </c>
      <c r="Y383" s="9">
        <v>64</v>
      </c>
      <c r="Z383" s="9">
        <v>0</v>
      </c>
    </row>
    <row r="384" spans="1:26" x14ac:dyDescent="0.25">
      <c r="A384" s="9" t="s">
        <v>36</v>
      </c>
      <c r="B384" s="9" t="s">
        <v>28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8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24</v>
      </c>
      <c r="X384" s="9">
        <v>12</v>
      </c>
      <c r="Y384" s="9">
        <v>56</v>
      </c>
      <c r="Z384" s="9">
        <v>0</v>
      </c>
    </row>
    <row r="385" spans="1:26" x14ac:dyDescent="0.25">
      <c r="A385" s="9" t="s">
        <v>36</v>
      </c>
      <c r="B385" s="9" t="s">
        <v>28</v>
      </c>
      <c r="C385" s="9">
        <v>0</v>
      </c>
      <c r="D385" s="9">
        <v>0</v>
      </c>
      <c r="E385" s="9">
        <v>16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40</v>
      </c>
      <c r="X385" s="9">
        <v>0</v>
      </c>
      <c r="Y385" s="9">
        <v>44</v>
      </c>
      <c r="Z385" s="9">
        <v>0</v>
      </c>
    </row>
    <row r="386" spans="1:26" x14ac:dyDescent="0.25">
      <c r="A386" s="9" t="s">
        <v>36</v>
      </c>
      <c r="B386" s="9" t="s">
        <v>28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20</v>
      </c>
      <c r="X386" s="9">
        <v>0</v>
      </c>
      <c r="Y386" s="9">
        <v>80</v>
      </c>
      <c r="Z386" s="9">
        <v>0</v>
      </c>
    </row>
    <row r="387" spans="1:26" x14ac:dyDescent="0.25">
      <c r="A387" s="9" t="s">
        <v>36</v>
      </c>
      <c r="B387" s="9" t="s">
        <v>28</v>
      </c>
      <c r="C387" s="9">
        <v>0</v>
      </c>
      <c r="D387" s="9">
        <v>0</v>
      </c>
      <c r="E387" s="9">
        <v>28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4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32</v>
      </c>
      <c r="X387" s="9">
        <v>8</v>
      </c>
      <c r="Y387" s="9">
        <v>28</v>
      </c>
      <c r="Z387" s="9">
        <v>0</v>
      </c>
    </row>
    <row r="388" spans="1:26" x14ac:dyDescent="0.25">
      <c r="A388" s="9" t="s">
        <v>36</v>
      </c>
      <c r="B388" s="9" t="s">
        <v>28</v>
      </c>
      <c r="C388" s="9">
        <v>0</v>
      </c>
      <c r="D388" s="9">
        <v>0</v>
      </c>
      <c r="E388" s="9">
        <v>8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8</v>
      </c>
      <c r="R388" s="9">
        <v>0</v>
      </c>
      <c r="S388" s="9">
        <v>4</v>
      </c>
      <c r="T388" s="9">
        <v>0</v>
      </c>
      <c r="U388" s="9">
        <v>0</v>
      </c>
      <c r="V388" s="9">
        <v>0</v>
      </c>
      <c r="W388" s="9">
        <v>20</v>
      </c>
      <c r="X388" s="9">
        <v>4</v>
      </c>
      <c r="Y388" s="9">
        <v>56</v>
      </c>
      <c r="Z388" s="9">
        <v>0</v>
      </c>
    </row>
    <row r="389" spans="1:26" x14ac:dyDescent="0.25">
      <c r="A389" s="9" t="s">
        <v>36</v>
      </c>
      <c r="B389" s="9" t="s">
        <v>28</v>
      </c>
      <c r="C389" s="9">
        <v>0</v>
      </c>
      <c r="D389" s="9">
        <v>0</v>
      </c>
      <c r="E389" s="9">
        <v>28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28</v>
      </c>
      <c r="X389" s="9">
        <v>4</v>
      </c>
      <c r="Y389" s="9">
        <v>40</v>
      </c>
      <c r="Z389" s="9">
        <v>0</v>
      </c>
    </row>
    <row r="390" spans="1:26" x14ac:dyDescent="0.25">
      <c r="A390" s="9" t="s">
        <v>36</v>
      </c>
      <c r="B390" s="9" t="s">
        <v>28</v>
      </c>
      <c r="C390" s="9">
        <v>0</v>
      </c>
      <c r="D390" s="9">
        <v>0</v>
      </c>
      <c r="E390" s="9">
        <v>8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44</v>
      </c>
      <c r="X390" s="9">
        <v>0</v>
      </c>
      <c r="Y390" s="9">
        <v>48</v>
      </c>
      <c r="Z390" s="9">
        <v>0</v>
      </c>
    </row>
    <row r="391" spans="1:26" x14ac:dyDescent="0.25">
      <c r="A391" s="9" t="s">
        <v>36</v>
      </c>
      <c r="B391" s="9" t="s">
        <v>28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8</v>
      </c>
      <c r="X391" s="9">
        <v>4</v>
      </c>
      <c r="Y391" s="9">
        <v>88</v>
      </c>
      <c r="Z391" s="9">
        <v>0</v>
      </c>
    </row>
    <row r="392" spans="1:26" x14ac:dyDescent="0.25">
      <c r="A392" s="9" t="s">
        <v>36</v>
      </c>
      <c r="B392" s="9" t="s">
        <v>29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8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8</v>
      </c>
      <c r="X392" s="9">
        <v>4</v>
      </c>
      <c r="Y392" s="9">
        <v>76</v>
      </c>
      <c r="Z392" s="9">
        <v>4</v>
      </c>
    </row>
    <row r="393" spans="1:26" x14ac:dyDescent="0.25">
      <c r="A393" s="9" t="s">
        <v>36</v>
      </c>
      <c r="B393" s="9" t="s">
        <v>29</v>
      </c>
      <c r="C393" s="9">
        <v>0</v>
      </c>
      <c r="D393" s="9">
        <v>0</v>
      </c>
      <c r="E393" s="9">
        <v>20</v>
      </c>
      <c r="F393" s="9">
        <v>0</v>
      </c>
      <c r="G393" s="9">
        <v>0</v>
      </c>
      <c r="H393" s="9">
        <v>0</v>
      </c>
      <c r="I393" s="9">
        <v>0</v>
      </c>
      <c r="J393" s="9">
        <v>4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16</v>
      </c>
      <c r="X393" s="9">
        <v>0</v>
      </c>
      <c r="Y393" s="9">
        <v>60</v>
      </c>
      <c r="Z393" s="9">
        <v>0</v>
      </c>
    </row>
    <row r="394" spans="1:26" x14ac:dyDescent="0.25">
      <c r="A394" s="9" t="s">
        <v>36</v>
      </c>
      <c r="B394" s="9" t="s">
        <v>29</v>
      </c>
      <c r="C394" s="9">
        <v>0</v>
      </c>
      <c r="D394" s="9">
        <v>0</v>
      </c>
      <c r="E394" s="9">
        <v>28</v>
      </c>
      <c r="F394" s="9">
        <v>0</v>
      </c>
      <c r="G394" s="9">
        <v>0</v>
      </c>
      <c r="H394" s="9">
        <v>0</v>
      </c>
      <c r="I394" s="9">
        <v>0</v>
      </c>
      <c r="J394" s="9">
        <v>8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8</v>
      </c>
      <c r="X394" s="9">
        <v>0</v>
      </c>
      <c r="Y394" s="9">
        <v>56</v>
      </c>
      <c r="Z394" s="9">
        <v>0</v>
      </c>
    </row>
    <row r="395" spans="1:26" x14ac:dyDescent="0.25">
      <c r="A395" s="9" t="s">
        <v>36</v>
      </c>
      <c r="B395" s="9" t="s">
        <v>29</v>
      </c>
      <c r="C395" s="9">
        <v>56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4</v>
      </c>
      <c r="X395" s="9">
        <v>0</v>
      </c>
      <c r="Y395" s="9">
        <v>40</v>
      </c>
      <c r="Z395" s="9">
        <v>0</v>
      </c>
    </row>
    <row r="396" spans="1:26" x14ac:dyDescent="0.25">
      <c r="A396" s="9" t="s">
        <v>36</v>
      </c>
      <c r="B396" s="9" t="s">
        <v>29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4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12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20</v>
      </c>
      <c r="X396" s="9">
        <v>4</v>
      </c>
      <c r="Y396" s="9">
        <v>60</v>
      </c>
      <c r="Z396" s="9">
        <v>0</v>
      </c>
    </row>
    <row r="397" spans="1:26" x14ac:dyDescent="0.25">
      <c r="A397" s="9" t="s">
        <v>36</v>
      </c>
      <c r="B397" s="9" t="s">
        <v>29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8</v>
      </c>
      <c r="N397" s="9">
        <v>8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4</v>
      </c>
      <c r="U397" s="9">
        <v>0</v>
      </c>
      <c r="V397" s="9">
        <v>0</v>
      </c>
      <c r="W397" s="9">
        <v>0</v>
      </c>
      <c r="X397" s="9">
        <v>0</v>
      </c>
      <c r="Y397" s="9">
        <v>76</v>
      </c>
      <c r="Z397" s="9">
        <v>4</v>
      </c>
    </row>
    <row r="398" spans="1:26" x14ac:dyDescent="0.25">
      <c r="A398" s="9" t="s">
        <v>36</v>
      </c>
      <c r="B398" s="9" t="s">
        <v>29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8</v>
      </c>
      <c r="X398" s="9">
        <v>8</v>
      </c>
      <c r="Y398" s="9">
        <v>84</v>
      </c>
      <c r="Z398" s="9">
        <v>0</v>
      </c>
    </row>
    <row r="399" spans="1:26" x14ac:dyDescent="0.25">
      <c r="A399" s="9" t="s">
        <v>36</v>
      </c>
      <c r="B399" s="9" t="s">
        <v>29</v>
      </c>
      <c r="C399" s="9">
        <v>0</v>
      </c>
      <c r="D399" s="9">
        <v>0</v>
      </c>
      <c r="E399" s="9">
        <v>0</v>
      </c>
      <c r="F399" s="9">
        <v>8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12</v>
      </c>
      <c r="O399" s="9">
        <v>0</v>
      </c>
      <c r="P399" s="9">
        <v>0</v>
      </c>
      <c r="Q399" s="9">
        <v>4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12</v>
      </c>
      <c r="X399" s="9">
        <v>0</v>
      </c>
      <c r="Y399" s="9">
        <v>64</v>
      </c>
      <c r="Z399" s="9">
        <v>0</v>
      </c>
    </row>
    <row r="400" spans="1:26" x14ac:dyDescent="0.25">
      <c r="A400" s="9" t="s">
        <v>36</v>
      </c>
      <c r="B400" s="9" t="s">
        <v>29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4</v>
      </c>
      <c r="X400" s="9">
        <v>0</v>
      </c>
      <c r="Y400" s="9">
        <v>96</v>
      </c>
      <c r="Z400" s="9">
        <v>0</v>
      </c>
    </row>
    <row r="401" spans="1:26" x14ac:dyDescent="0.25">
      <c r="A401" s="9" t="s">
        <v>36</v>
      </c>
      <c r="B401" s="9" t="s">
        <v>29</v>
      </c>
      <c r="C401" s="9">
        <v>0</v>
      </c>
      <c r="D401" s="9">
        <v>0</v>
      </c>
      <c r="E401" s="9">
        <v>20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4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8</v>
      </c>
      <c r="X401" s="9">
        <v>0</v>
      </c>
      <c r="Y401" s="9">
        <v>68</v>
      </c>
      <c r="Z401" s="9">
        <v>0</v>
      </c>
    </row>
    <row r="402" spans="1:26" x14ac:dyDescent="0.25">
      <c r="A402" s="9" t="s">
        <v>36</v>
      </c>
      <c r="B402" s="9" t="s">
        <v>29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100</v>
      </c>
      <c r="Z402" s="9">
        <v>0</v>
      </c>
    </row>
    <row r="403" spans="1:26" x14ac:dyDescent="0.25">
      <c r="A403" s="9" t="s">
        <v>36</v>
      </c>
      <c r="B403" s="9" t="s">
        <v>29</v>
      </c>
      <c r="C403" s="9">
        <v>0</v>
      </c>
      <c r="D403" s="9">
        <v>0</v>
      </c>
      <c r="E403" s="9">
        <v>0</v>
      </c>
      <c r="F403" s="9">
        <v>8</v>
      </c>
      <c r="G403" s="9">
        <v>0</v>
      </c>
      <c r="H403" s="9">
        <v>0</v>
      </c>
      <c r="I403" s="9">
        <v>0</v>
      </c>
      <c r="J403" s="9">
        <v>4</v>
      </c>
      <c r="K403" s="9">
        <v>0</v>
      </c>
      <c r="L403" s="9">
        <v>0</v>
      </c>
      <c r="M403" s="9">
        <v>0</v>
      </c>
      <c r="N403" s="9">
        <v>4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16</v>
      </c>
      <c r="X403" s="9">
        <v>4</v>
      </c>
      <c r="Y403" s="9">
        <v>64</v>
      </c>
      <c r="Z403" s="9">
        <v>0</v>
      </c>
    </row>
    <row r="404" spans="1:26" x14ac:dyDescent="0.25">
      <c r="A404" s="9" t="s">
        <v>36</v>
      </c>
      <c r="B404" s="9" t="s">
        <v>29</v>
      </c>
      <c r="C404" s="9">
        <v>4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8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20</v>
      </c>
      <c r="X404" s="9">
        <v>8</v>
      </c>
      <c r="Y404" s="9">
        <v>52</v>
      </c>
      <c r="Z404" s="9">
        <v>8</v>
      </c>
    </row>
    <row r="405" spans="1:26" x14ac:dyDescent="0.25">
      <c r="A405" s="9" t="s">
        <v>36</v>
      </c>
      <c r="B405" s="9" t="s">
        <v>29</v>
      </c>
      <c r="C405" s="9">
        <v>0</v>
      </c>
      <c r="D405" s="9">
        <v>0</v>
      </c>
      <c r="E405" s="9">
        <v>12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8</v>
      </c>
      <c r="X405" s="9">
        <v>0</v>
      </c>
      <c r="Y405" s="9">
        <v>80</v>
      </c>
      <c r="Z405" s="9">
        <v>0</v>
      </c>
    </row>
    <row r="406" spans="1:26" x14ac:dyDescent="0.25">
      <c r="A406" s="9" t="s">
        <v>36</v>
      </c>
      <c r="B406" s="9" t="s">
        <v>29</v>
      </c>
      <c r="C406" s="9">
        <v>12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4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28</v>
      </c>
      <c r="X406" s="9">
        <v>4</v>
      </c>
      <c r="Y406" s="9">
        <v>52</v>
      </c>
      <c r="Z406" s="9">
        <v>0</v>
      </c>
    </row>
    <row r="407" spans="1:26" x14ac:dyDescent="0.25">
      <c r="A407" s="9" t="s">
        <v>36</v>
      </c>
      <c r="B407" s="9" t="s">
        <v>30</v>
      </c>
      <c r="C407" s="9">
        <v>0</v>
      </c>
      <c r="D407" s="9">
        <v>0</v>
      </c>
      <c r="E407" s="9">
        <v>8</v>
      </c>
      <c r="F407" s="9">
        <v>0</v>
      </c>
      <c r="G407" s="9">
        <v>0</v>
      </c>
      <c r="H407" s="9">
        <v>0</v>
      </c>
      <c r="I407" s="9">
        <v>4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4</v>
      </c>
      <c r="R407" s="9">
        <v>0</v>
      </c>
      <c r="S407" s="9">
        <v>0</v>
      </c>
      <c r="T407" s="9">
        <v>4</v>
      </c>
      <c r="U407" s="9">
        <v>0</v>
      </c>
      <c r="V407" s="9">
        <v>0</v>
      </c>
      <c r="W407" s="9">
        <v>8</v>
      </c>
      <c r="X407" s="9">
        <v>16</v>
      </c>
      <c r="Y407" s="9">
        <v>56</v>
      </c>
      <c r="Z407" s="9">
        <v>0</v>
      </c>
    </row>
    <row r="408" spans="1:26" x14ac:dyDescent="0.25">
      <c r="A408" s="9" t="s">
        <v>36</v>
      </c>
      <c r="B408" s="9" t="s">
        <v>30</v>
      </c>
      <c r="C408" s="9">
        <v>0</v>
      </c>
      <c r="D408" s="9">
        <v>0</v>
      </c>
      <c r="E408" s="9">
        <v>40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8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52</v>
      </c>
      <c r="Z408" s="9">
        <v>0</v>
      </c>
    </row>
    <row r="409" spans="1:26" x14ac:dyDescent="0.25">
      <c r="A409" s="9" t="s">
        <v>36</v>
      </c>
      <c r="B409" s="9" t="s">
        <v>30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16</v>
      </c>
      <c r="X409" s="9">
        <v>8</v>
      </c>
      <c r="Y409" s="9">
        <v>76</v>
      </c>
      <c r="Z409" s="9">
        <v>0</v>
      </c>
    </row>
    <row r="410" spans="1:26" x14ac:dyDescent="0.25">
      <c r="A410" s="9" t="s">
        <v>36</v>
      </c>
      <c r="B410" s="9" t="s">
        <v>30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100</v>
      </c>
      <c r="Z410" s="9">
        <v>0</v>
      </c>
    </row>
    <row r="411" spans="1:26" x14ac:dyDescent="0.25">
      <c r="A411" s="9" t="s">
        <v>36</v>
      </c>
      <c r="B411" s="9" t="s">
        <v>30</v>
      </c>
      <c r="C411" s="9">
        <v>0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16</v>
      </c>
      <c r="N411" s="9">
        <v>8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20</v>
      </c>
      <c r="X411" s="9">
        <v>0</v>
      </c>
      <c r="Y411" s="9">
        <v>56</v>
      </c>
      <c r="Z411" s="9">
        <v>0</v>
      </c>
    </row>
    <row r="412" spans="1:26" x14ac:dyDescent="0.25">
      <c r="A412" s="9" t="s">
        <v>36</v>
      </c>
      <c r="B412" s="9" t="s">
        <v>30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16</v>
      </c>
      <c r="N412" s="9">
        <v>4</v>
      </c>
      <c r="O412" s="9">
        <v>0</v>
      </c>
      <c r="P412" s="9">
        <v>0</v>
      </c>
      <c r="Q412" s="9">
        <v>4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20</v>
      </c>
      <c r="X412" s="9">
        <v>0</v>
      </c>
      <c r="Y412" s="9">
        <v>56</v>
      </c>
      <c r="Z412" s="9">
        <v>0</v>
      </c>
    </row>
    <row r="413" spans="1:26" x14ac:dyDescent="0.25">
      <c r="A413" s="9" t="s">
        <v>36</v>
      </c>
      <c r="B413" s="9" t="s">
        <v>30</v>
      </c>
      <c r="C413" s="9">
        <v>0</v>
      </c>
      <c r="D413" s="9">
        <v>0</v>
      </c>
      <c r="E413" s="9">
        <v>32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40</v>
      </c>
      <c r="X413" s="9">
        <v>4</v>
      </c>
      <c r="Y413" s="9">
        <v>24</v>
      </c>
      <c r="Z413" s="9">
        <v>0</v>
      </c>
    </row>
    <row r="414" spans="1:26" x14ac:dyDescent="0.25">
      <c r="A414" s="9" t="s">
        <v>36</v>
      </c>
      <c r="B414" s="9" t="s">
        <v>30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20</v>
      </c>
      <c r="X414" s="9">
        <v>0</v>
      </c>
      <c r="Y414" s="9">
        <v>80</v>
      </c>
      <c r="Z414" s="9">
        <v>0</v>
      </c>
    </row>
    <row r="415" spans="1:26" x14ac:dyDescent="0.25">
      <c r="A415" s="9" t="s">
        <v>36</v>
      </c>
      <c r="B415" s="9" t="s">
        <v>30</v>
      </c>
      <c r="C415" s="9">
        <v>0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20</v>
      </c>
      <c r="X415" s="9">
        <v>8</v>
      </c>
      <c r="Y415" s="9">
        <v>72</v>
      </c>
      <c r="Z415" s="9">
        <v>0</v>
      </c>
    </row>
    <row r="416" spans="1:26" x14ac:dyDescent="0.25">
      <c r="A416" s="9" t="s">
        <v>36</v>
      </c>
      <c r="B416" s="9" t="s">
        <v>30</v>
      </c>
      <c r="C416" s="9">
        <v>0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20</v>
      </c>
      <c r="X416" s="9">
        <v>0</v>
      </c>
      <c r="Y416" s="9">
        <v>80</v>
      </c>
      <c r="Z416" s="9">
        <v>0</v>
      </c>
    </row>
    <row r="417" spans="1:26" x14ac:dyDescent="0.25">
      <c r="A417" s="9" t="s">
        <v>36</v>
      </c>
      <c r="B417" s="9" t="s">
        <v>30</v>
      </c>
      <c r="C417" s="9">
        <v>0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52</v>
      </c>
      <c r="X417" s="9">
        <v>4</v>
      </c>
      <c r="Y417" s="9">
        <v>40</v>
      </c>
      <c r="Z417" s="9">
        <v>4</v>
      </c>
    </row>
    <row r="418" spans="1:26" x14ac:dyDescent="0.25">
      <c r="A418" s="9" t="s">
        <v>36</v>
      </c>
      <c r="B418" s="9" t="s">
        <v>30</v>
      </c>
      <c r="C418" s="9">
        <v>0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4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28</v>
      </c>
      <c r="X418" s="9">
        <v>0</v>
      </c>
      <c r="Y418" s="9">
        <v>68</v>
      </c>
      <c r="Z418" s="9">
        <v>0</v>
      </c>
    </row>
    <row r="419" spans="1:26" x14ac:dyDescent="0.25">
      <c r="A419" s="9" t="s">
        <v>36</v>
      </c>
      <c r="B419" s="9" t="s">
        <v>30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4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12</v>
      </c>
      <c r="X419" s="9">
        <v>4</v>
      </c>
      <c r="Y419" s="9">
        <v>80</v>
      </c>
      <c r="Z419" s="9">
        <v>0</v>
      </c>
    </row>
    <row r="420" spans="1:26" x14ac:dyDescent="0.25">
      <c r="A420" s="9" t="s">
        <v>36</v>
      </c>
      <c r="B420" s="9" t="s">
        <v>30</v>
      </c>
      <c r="C420" s="9">
        <v>0</v>
      </c>
      <c r="D420" s="9">
        <v>0</v>
      </c>
      <c r="E420" s="9">
        <v>24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4</v>
      </c>
      <c r="X420" s="9">
        <v>0</v>
      </c>
      <c r="Y420" s="9">
        <v>68</v>
      </c>
      <c r="Z420" s="9">
        <v>4</v>
      </c>
    </row>
    <row r="421" spans="1:26" x14ac:dyDescent="0.25">
      <c r="A421" s="9" t="s">
        <v>36</v>
      </c>
      <c r="B421" s="9" t="s">
        <v>30</v>
      </c>
      <c r="C421" s="9">
        <v>12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8</v>
      </c>
      <c r="X421" s="9">
        <v>4</v>
      </c>
      <c r="Y421" s="9">
        <v>76</v>
      </c>
      <c r="Z421" s="9">
        <v>0</v>
      </c>
    </row>
    <row r="422" spans="1:26" x14ac:dyDescent="0.25">
      <c r="A422" s="9" t="s">
        <v>36</v>
      </c>
      <c r="B422" s="9" t="s">
        <v>31</v>
      </c>
      <c r="C422" s="9">
        <v>0</v>
      </c>
      <c r="D422" s="9">
        <v>0</v>
      </c>
      <c r="E422" s="9">
        <v>4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4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60</v>
      </c>
      <c r="X422" s="9">
        <v>4</v>
      </c>
      <c r="Y422" s="9">
        <v>20</v>
      </c>
      <c r="Z422" s="9">
        <v>8</v>
      </c>
    </row>
    <row r="423" spans="1:26" x14ac:dyDescent="0.25">
      <c r="A423" s="9" t="s">
        <v>36</v>
      </c>
      <c r="B423" s="9" t="s">
        <v>31</v>
      </c>
      <c r="C423" s="9">
        <v>0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4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8</v>
      </c>
      <c r="X423" s="9">
        <v>4</v>
      </c>
      <c r="Y423" s="9">
        <v>80</v>
      </c>
      <c r="Z423" s="9">
        <v>4</v>
      </c>
    </row>
    <row r="424" spans="1:26" x14ac:dyDescent="0.25">
      <c r="A424" s="9" t="s">
        <v>36</v>
      </c>
      <c r="B424" s="9" t="s">
        <v>31</v>
      </c>
      <c r="C424" s="9">
        <v>0</v>
      </c>
      <c r="D424" s="9">
        <v>0</v>
      </c>
      <c r="E424" s="9">
        <v>16</v>
      </c>
      <c r="F424" s="9">
        <v>0</v>
      </c>
      <c r="G424" s="9">
        <v>0</v>
      </c>
      <c r="H424" s="9">
        <v>0</v>
      </c>
      <c r="I424" s="9">
        <v>0</v>
      </c>
      <c r="J424" s="9">
        <v>4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4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40</v>
      </c>
      <c r="X424" s="9">
        <v>4</v>
      </c>
      <c r="Y424" s="9">
        <v>24</v>
      </c>
      <c r="Z424" s="9">
        <v>8</v>
      </c>
    </row>
    <row r="425" spans="1:26" x14ac:dyDescent="0.25">
      <c r="A425" s="9" t="s">
        <v>36</v>
      </c>
      <c r="B425" s="9" t="s">
        <v>31</v>
      </c>
      <c r="C425" s="9">
        <v>0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4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96</v>
      </c>
      <c r="Z425" s="9">
        <v>0</v>
      </c>
    </row>
    <row r="426" spans="1:26" x14ac:dyDescent="0.25">
      <c r="A426" s="9" t="s">
        <v>36</v>
      </c>
      <c r="B426" s="9" t="s">
        <v>31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4</v>
      </c>
      <c r="U426" s="9">
        <v>0</v>
      </c>
      <c r="V426" s="9">
        <v>0</v>
      </c>
      <c r="W426" s="9">
        <v>28</v>
      </c>
      <c r="X426" s="9">
        <v>12</v>
      </c>
      <c r="Y426" s="9">
        <v>52</v>
      </c>
      <c r="Z426" s="9">
        <v>4</v>
      </c>
    </row>
    <row r="427" spans="1:26" x14ac:dyDescent="0.25">
      <c r="A427" s="9" t="s">
        <v>36</v>
      </c>
      <c r="B427" s="9" t="s">
        <v>31</v>
      </c>
      <c r="C427" s="9">
        <v>0</v>
      </c>
      <c r="D427" s="9">
        <v>0</v>
      </c>
      <c r="E427" s="9">
        <v>0</v>
      </c>
      <c r="F427" s="9">
        <v>8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28</v>
      </c>
      <c r="X427" s="9">
        <v>0</v>
      </c>
      <c r="Y427" s="9">
        <v>60</v>
      </c>
      <c r="Z427" s="9">
        <v>4</v>
      </c>
    </row>
    <row r="428" spans="1:26" x14ac:dyDescent="0.25">
      <c r="A428" s="9" t="s">
        <v>36</v>
      </c>
      <c r="B428" s="9" t="s">
        <v>31</v>
      </c>
      <c r="C428" s="9">
        <v>24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4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12</v>
      </c>
      <c r="X428" s="9">
        <v>4</v>
      </c>
      <c r="Y428" s="9">
        <v>52</v>
      </c>
      <c r="Z428" s="9">
        <v>4</v>
      </c>
    </row>
    <row r="429" spans="1:26" x14ac:dyDescent="0.25">
      <c r="A429" s="9" t="s">
        <v>36</v>
      </c>
      <c r="B429" s="9" t="s">
        <v>31</v>
      </c>
      <c r="C429" s="9">
        <v>0</v>
      </c>
      <c r="D429" s="9">
        <v>0</v>
      </c>
      <c r="E429" s="9">
        <v>20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4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16</v>
      </c>
      <c r="X429" s="9">
        <v>0</v>
      </c>
      <c r="Y429" s="9">
        <v>60</v>
      </c>
      <c r="Z429" s="9">
        <v>0</v>
      </c>
    </row>
    <row r="430" spans="1:26" x14ac:dyDescent="0.25">
      <c r="A430" s="9" t="s">
        <v>36</v>
      </c>
      <c r="B430" s="9" t="s">
        <v>31</v>
      </c>
      <c r="C430" s="9">
        <v>0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8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8</v>
      </c>
      <c r="X430" s="9">
        <v>0</v>
      </c>
      <c r="Y430" s="9">
        <v>84</v>
      </c>
      <c r="Z430" s="9">
        <v>0</v>
      </c>
    </row>
    <row r="431" spans="1:26" x14ac:dyDescent="0.25">
      <c r="A431" s="9" t="s">
        <v>36</v>
      </c>
      <c r="B431" s="9" t="s">
        <v>31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4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12</v>
      </c>
      <c r="X431" s="9">
        <v>0</v>
      </c>
      <c r="Y431" s="9">
        <v>84</v>
      </c>
      <c r="Z431" s="9">
        <v>0</v>
      </c>
    </row>
    <row r="432" spans="1:26" x14ac:dyDescent="0.25">
      <c r="A432" s="9" t="s">
        <v>36</v>
      </c>
      <c r="B432" s="9" t="s">
        <v>31</v>
      </c>
      <c r="C432" s="9">
        <v>0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4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8</v>
      </c>
      <c r="X432" s="9">
        <v>0</v>
      </c>
      <c r="Y432" s="9">
        <v>88</v>
      </c>
      <c r="Z432" s="9">
        <v>0</v>
      </c>
    </row>
    <row r="433" spans="1:26" x14ac:dyDescent="0.25">
      <c r="A433" s="9" t="s">
        <v>36</v>
      </c>
      <c r="B433" s="9" t="s">
        <v>31</v>
      </c>
      <c r="C433" s="9">
        <v>0</v>
      </c>
      <c r="D433" s="9">
        <v>0</v>
      </c>
      <c r="E433" s="9">
        <v>12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8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8</v>
      </c>
      <c r="X433" s="9">
        <v>0</v>
      </c>
      <c r="Y433" s="9">
        <v>72</v>
      </c>
      <c r="Z433" s="9">
        <v>0</v>
      </c>
    </row>
    <row r="434" spans="1:26" x14ac:dyDescent="0.25">
      <c r="A434" s="9" t="s">
        <v>36</v>
      </c>
      <c r="B434" s="9" t="s">
        <v>31</v>
      </c>
      <c r="C434" s="9">
        <v>0</v>
      </c>
      <c r="D434" s="9">
        <v>0</v>
      </c>
      <c r="E434" s="9">
        <v>12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20</v>
      </c>
      <c r="X434" s="9">
        <v>12</v>
      </c>
      <c r="Y434" s="9">
        <v>56</v>
      </c>
      <c r="Z434" s="9">
        <v>0</v>
      </c>
    </row>
    <row r="435" spans="1:26" x14ac:dyDescent="0.25">
      <c r="A435" s="9" t="s">
        <v>36</v>
      </c>
      <c r="B435" s="9" t="s">
        <v>31</v>
      </c>
      <c r="C435" s="9">
        <v>0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12</v>
      </c>
      <c r="X435" s="9">
        <v>12</v>
      </c>
      <c r="Y435" s="9">
        <v>76</v>
      </c>
      <c r="Z435" s="9">
        <v>0</v>
      </c>
    </row>
    <row r="436" spans="1:26" x14ac:dyDescent="0.25">
      <c r="A436" s="9" t="s">
        <v>36</v>
      </c>
      <c r="B436" s="9" t="s">
        <v>31</v>
      </c>
      <c r="C436" s="9">
        <v>16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40</v>
      </c>
      <c r="X436" s="9">
        <v>8</v>
      </c>
      <c r="Y436" s="9">
        <v>32</v>
      </c>
      <c r="Z436" s="9">
        <v>4</v>
      </c>
    </row>
    <row r="437" spans="1:26" x14ac:dyDescent="0.25">
      <c r="A437" s="9" t="s">
        <v>36</v>
      </c>
      <c r="B437" s="9" t="s">
        <v>32</v>
      </c>
      <c r="C437" s="9">
        <v>0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8</v>
      </c>
      <c r="R437" s="9">
        <v>0</v>
      </c>
      <c r="S437" s="9">
        <v>0</v>
      </c>
      <c r="T437" s="9">
        <v>4</v>
      </c>
      <c r="U437" s="9">
        <v>0</v>
      </c>
      <c r="V437" s="9">
        <v>0</v>
      </c>
      <c r="W437" s="9">
        <v>20</v>
      </c>
      <c r="X437" s="9">
        <v>4</v>
      </c>
      <c r="Y437" s="9">
        <v>60</v>
      </c>
      <c r="Z437" s="9">
        <v>4</v>
      </c>
    </row>
    <row r="438" spans="1:26" x14ac:dyDescent="0.25">
      <c r="A438" s="9" t="s">
        <v>36</v>
      </c>
      <c r="B438" s="9" t="s">
        <v>32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4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8</v>
      </c>
      <c r="X438" s="9">
        <v>0</v>
      </c>
      <c r="Y438" s="9">
        <v>84</v>
      </c>
      <c r="Z438" s="9">
        <v>4</v>
      </c>
    </row>
    <row r="439" spans="1:26" x14ac:dyDescent="0.25">
      <c r="A439" s="9" t="s">
        <v>36</v>
      </c>
      <c r="B439" s="9" t="s">
        <v>32</v>
      </c>
      <c r="C439" s="9">
        <v>24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4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56</v>
      </c>
      <c r="X439" s="9">
        <v>0</v>
      </c>
      <c r="Y439" s="9">
        <v>12</v>
      </c>
      <c r="Z439" s="9">
        <v>4</v>
      </c>
    </row>
    <row r="440" spans="1:26" x14ac:dyDescent="0.25">
      <c r="A440" s="9" t="s">
        <v>36</v>
      </c>
      <c r="B440" s="9" t="s">
        <v>32</v>
      </c>
      <c r="C440" s="9">
        <v>0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4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12</v>
      </c>
      <c r="X440" s="9">
        <v>4</v>
      </c>
      <c r="Y440" s="9">
        <v>80</v>
      </c>
      <c r="Z440" s="9">
        <v>0</v>
      </c>
    </row>
    <row r="441" spans="1:26" x14ac:dyDescent="0.25">
      <c r="A441" s="9" t="s">
        <v>36</v>
      </c>
      <c r="B441" s="9" t="s">
        <v>32</v>
      </c>
      <c r="C441" s="9">
        <v>0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36</v>
      </c>
      <c r="X441" s="9">
        <v>0</v>
      </c>
      <c r="Y441" s="9">
        <v>64</v>
      </c>
      <c r="Z441" s="9">
        <v>0</v>
      </c>
    </row>
    <row r="442" spans="1:26" x14ac:dyDescent="0.25">
      <c r="A442" s="9" t="s">
        <v>36</v>
      </c>
      <c r="B442" s="9" t="s">
        <v>32</v>
      </c>
      <c r="C442" s="9">
        <v>0</v>
      </c>
      <c r="D442" s="9">
        <v>0</v>
      </c>
      <c r="E442" s="9">
        <v>8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4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4</v>
      </c>
      <c r="X442" s="9">
        <v>4</v>
      </c>
      <c r="Y442" s="9">
        <v>80</v>
      </c>
      <c r="Z442" s="9">
        <v>0</v>
      </c>
    </row>
    <row r="443" spans="1:26" x14ac:dyDescent="0.25">
      <c r="A443" s="9" t="s">
        <v>36</v>
      </c>
      <c r="B443" s="9" t="s">
        <v>32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4</v>
      </c>
      <c r="N443" s="9">
        <v>0</v>
      </c>
      <c r="O443" s="9">
        <v>0</v>
      </c>
      <c r="P443" s="9">
        <v>0</v>
      </c>
      <c r="Q443" s="9">
        <v>4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16</v>
      </c>
      <c r="X443" s="9">
        <v>8</v>
      </c>
      <c r="Y443" s="9">
        <v>68</v>
      </c>
      <c r="Z443" s="9">
        <v>0</v>
      </c>
    </row>
    <row r="444" spans="1:26" x14ac:dyDescent="0.25">
      <c r="A444" s="9" t="s">
        <v>36</v>
      </c>
      <c r="B444" s="9" t="s">
        <v>32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40</v>
      </c>
      <c r="X444" s="9">
        <v>8</v>
      </c>
      <c r="Y444" s="9">
        <v>48</v>
      </c>
      <c r="Z444" s="9">
        <v>4</v>
      </c>
    </row>
    <row r="445" spans="1:26" x14ac:dyDescent="0.25">
      <c r="A445" s="9" t="s">
        <v>36</v>
      </c>
      <c r="B445" s="9" t="s">
        <v>32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4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12</v>
      </c>
      <c r="X445" s="9">
        <v>4</v>
      </c>
      <c r="Y445" s="9">
        <v>76</v>
      </c>
      <c r="Z445" s="9">
        <v>4</v>
      </c>
    </row>
    <row r="446" spans="1:26" x14ac:dyDescent="0.25">
      <c r="A446" s="9" t="s">
        <v>36</v>
      </c>
      <c r="B446" s="9" t="s">
        <v>32</v>
      </c>
      <c r="C446" s="9">
        <v>0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36</v>
      </c>
      <c r="X446" s="9">
        <v>4</v>
      </c>
      <c r="Y446" s="9">
        <v>60</v>
      </c>
      <c r="Z446" s="9">
        <v>0</v>
      </c>
    </row>
    <row r="447" spans="1:26" x14ac:dyDescent="0.25">
      <c r="A447" s="9" t="s">
        <v>36</v>
      </c>
      <c r="B447" s="9" t="s">
        <v>32</v>
      </c>
      <c r="C447" s="9">
        <v>0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32</v>
      </c>
      <c r="X447" s="9">
        <v>4</v>
      </c>
      <c r="Y447" s="9">
        <v>60</v>
      </c>
      <c r="Z447" s="9">
        <v>4</v>
      </c>
    </row>
    <row r="448" spans="1:26" x14ac:dyDescent="0.25">
      <c r="A448" s="9" t="s">
        <v>36</v>
      </c>
      <c r="B448" s="9" t="s">
        <v>32</v>
      </c>
      <c r="C448" s="9">
        <v>24</v>
      </c>
      <c r="D448" s="9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40</v>
      </c>
      <c r="X448" s="9">
        <v>4</v>
      </c>
      <c r="Y448" s="9">
        <v>32</v>
      </c>
      <c r="Z448" s="9">
        <v>0</v>
      </c>
    </row>
    <row r="449" spans="1:26" x14ac:dyDescent="0.25">
      <c r="A449" s="9" t="s">
        <v>36</v>
      </c>
      <c r="B449" s="9" t="s">
        <v>32</v>
      </c>
      <c r="C449" s="9">
        <v>48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32</v>
      </c>
      <c r="X449" s="9">
        <v>0</v>
      </c>
      <c r="Y449" s="9">
        <v>16</v>
      </c>
      <c r="Z449" s="9">
        <v>4</v>
      </c>
    </row>
    <row r="450" spans="1:26" x14ac:dyDescent="0.25">
      <c r="A450" s="9" t="s">
        <v>36</v>
      </c>
      <c r="B450" s="9" t="s">
        <v>32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4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8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52</v>
      </c>
      <c r="X450" s="9">
        <v>0</v>
      </c>
      <c r="Y450" s="9">
        <v>36</v>
      </c>
      <c r="Z450" s="9">
        <v>0</v>
      </c>
    </row>
    <row r="451" spans="1:26" x14ac:dyDescent="0.25">
      <c r="A451" s="9" t="s">
        <v>36</v>
      </c>
      <c r="B451" s="9" t="s">
        <v>32</v>
      </c>
      <c r="C451" s="9">
        <v>0</v>
      </c>
      <c r="D451" s="9">
        <v>0</v>
      </c>
      <c r="E451" s="9">
        <v>0</v>
      </c>
      <c r="F451" s="9">
        <v>4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4</v>
      </c>
      <c r="U451" s="9">
        <v>0</v>
      </c>
      <c r="V451" s="9">
        <v>0</v>
      </c>
      <c r="W451" s="9">
        <v>0</v>
      </c>
      <c r="X451" s="9">
        <v>0</v>
      </c>
      <c r="Y451" s="9">
        <v>92</v>
      </c>
      <c r="Z451" s="9">
        <v>0</v>
      </c>
    </row>
    <row r="452" spans="1:26" x14ac:dyDescent="0.25">
      <c r="A452" s="9" t="s">
        <v>37</v>
      </c>
      <c r="B452" s="9" t="s">
        <v>27</v>
      </c>
      <c r="C452" s="9">
        <v>0</v>
      </c>
      <c r="D452" s="9">
        <v>0</v>
      </c>
      <c r="E452" s="9">
        <v>28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4</v>
      </c>
      <c r="X452" s="9">
        <v>0</v>
      </c>
      <c r="Y452" s="9">
        <v>68</v>
      </c>
      <c r="Z452" s="9">
        <v>0</v>
      </c>
    </row>
    <row r="453" spans="1:26" x14ac:dyDescent="0.25">
      <c r="A453" s="9" t="s">
        <v>37</v>
      </c>
      <c r="B453" s="9" t="s">
        <v>27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4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16</v>
      </c>
      <c r="Y453" s="9">
        <v>80</v>
      </c>
      <c r="Z453" s="9">
        <v>0</v>
      </c>
    </row>
    <row r="454" spans="1:26" x14ac:dyDescent="0.25">
      <c r="A454" s="9" t="s">
        <v>37</v>
      </c>
      <c r="B454" s="9" t="s">
        <v>27</v>
      </c>
      <c r="C454" s="9">
        <v>0</v>
      </c>
      <c r="D454" s="9">
        <v>0</v>
      </c>
      <c r="E454" s="9">
        <v>32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4</v>
      </c>
      <c r="X454" s="9">
        <v>0</v>
      </c>
      <c r="Y454" s="9">
        <v>60</v>
      </c>
      <c r="Z454" s="9">
        <v>4</v>
      </c>
    </row>
    <row r="455" spans="1:26" x14ac:dyDescent="0.25">
      <c r="A455" s="9" t="s">
        <v>37</v>
      </c>
      <c r="B455" s="9" t="s">
        <v>27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92</v>
      </c>
      <c r="Z455" s="9">
        <v>8</v>
      </c>
    </row>
    <row r="456" spans="1:26" x14ac:dyDescent="0.25">
      <c r="A456" s="9" t="s">
        <v>37</v>
      </c>
      <c r="B456" s="9" t="s">
        <v>27</v>
      </c>
      <c r="C456" s="9">
        <v>0</v>
      </c>
      <c r="D456" s="9">
        <v>0</v>
      </c>
      <c r="E456" s="9">
        <v>16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4</v>
      </c>
      <c r="X456" s="9">
        <v>4</v>
      </c>
      <c r="Y456" s="9">
        <v>72</v>
      </c>
      <c r="Z456" s="9">
        <v>4</v>
      </c>
    </row>
    <row r="457" spans="1:26" x14ac:dyDescent="0.25">
      <c r="A457" s="9" t="s">
        <v>37</v>
      </c>
      <c r="B457" s="9" t="s">
        <v>27</v>
      </c>
      <c r="C457" s="9">
        <v>0</v>
      </c>
      <c r="D457" s="9">
        <v>0</v>
      </c>
      <c r="E457" s="9">
        <v>20</v>
      </c>
      <c r="F457" s="9">
        <v>0</v>
      </c>
      <c r="G457" s="9">
        <v>0</v>
      </c>
      <c r="H457" s="9">
        <v>0</v>
      </c>
      <c r="I457" s="9">
        <v>0</v>
      </c>
      <c r="J457" s="9">
        <v>4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4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28</v>
      </c>
      <c r="X457" s="9">
        <v>4</v>
      </c>
      <c r="Y457" s="9">
        <v>32</v>
      </c>
      <c r="Z457" s="9">
        <v>8</v>
      </c>
    </row>
    <row r="458" spans="1:26" x14ac:dyDescent="0.25">
      <c r="A458" s="9" t="s">
        <v>37</v>
      </c>
      <c r="B458" s="9" t="s">
        <v>27</v>
      </c>
      <c r="C458" s="9">
        <v>0</v>
      </c>
      <c r="D458" s="9">
        <v>0</v>
      </c>
      <c r="E458" s="9">
        <v>28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12</v>
      </c>
      <c r="T458" s="9">
        <v>0</v>
      </c>
      <c r="U458" s="9">
        <v>0</v>
      </c>
      <c r="V458" s="9">
        <v>0</v>
      </c>
      <c r="W458" s="9">
        <v>4</v>
      </c>
      <c r="X458" s="9">
        <v>4</v>
      </c>
      <c r="Y458" s="9">
        <v>52</v>
      </c>
      <c r="Z458" s="9">
        <v>0</v>
      </c>
    </row>
    <row r="459" spans="1:26" x14ac:dyDescent="0.25">
      <c r="A459" s="9" t="s">
        <v>37</v>
      </c>
      <c r="B459" s="9" t="s">
        <v>27</v>
      </c>
      <c r="C459" s="9">
        <v>0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8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12</v>
      </c>
      <c r="Y459" s="9">
        <v>80</v>
      </c>
      <c r="Z459" s="9">
        <v>0</v>
      </c>
    </row>
    <row r="460" spans="1:26" x14ac:dyDescent="0.25">
      <c r="A460" s="9" t="s">
        <v>37</v>
      </c>
      <c r="B460" s="9" t="s">
        <v>27</v>
      </c>
      <c r="C460" s="9">
        <v>0</v>
      </c>
      <c r="D460" s="9">
        <v>0</v>
      </c>
      <c r="E460" s="9">
        <v>12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4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4</v>
      </c>
      <c r="Y460" s="9">
        <v>68</v>
      </c>
      <c r="Z460" s="9">
        <v>12</v>
      </c>
    </row>
    <row r="461" spans="1:26" x14ac:dyDescent="0.25">
      <c r="A461" s="9" t="s">
        <v>37</v>
      </c>
      <c r="B461" s="9" t="s">
        <v>27</v>
      </c>
      <c r="C461" s="9">
        <v>0</v>
      </c>
      <c r="D461" s="9">
        <v>0</v>
      </c>
      <c r="E461" s="9">
        <v>24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20</v>
      </c>
      <c r="N461" s="9">
        <v>4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48</v>
      </c>
      <c r="Z461" s="9">
        <v>4</v>
      </c>
    </row>
    <row r="462" spans="1:26" x14ac:dyDescent="0.25">
      <c r="A462" s="9" t="s">
        <v>37</v>
      </c>
      <c r="B462" s="9" t="s">
        <v>27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4</v>
      </c>
      <c r="N462" s="9">
        <v>4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12</v>
      </c>
      <c r="X462" s="9">
        <v>0</v>
      </c>
      <c r="Y462" s="9">
        <v>76</v>
      </c>
      <c r="Z462" s="9">
        <v>4</v>
      </c>
    </row>
    <row r="463" spans="1:26" x14ac:dyDescent="0.25">
      <c r="A463" s="9" t="s">
        <v>37</v>
      </c>
      <c r="B463" s="9" t="s">
        <v>27</v>
      </c>
      <c r="C463" s="9">
        <v>0</v>
      </c>
      <c r="D463" s="9">
        <v>0</v>
      </c>
      <c r="E463" s="9">
        <v>12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84</v>
      </c>
      <c r="Z463" s="9">
        <v>4</v>
      </c>
    </row>
    <row r="464" spans="1:26" x14ac:dyDescent="0.25">
      <c r="A464" s="9" t="s">
        <v>37</v>
      </c>
      <c r="B464" s="9" t="s">
        <v>27</v>
      </c>
      <c r="C464" s="9">
        <v>0</v>
      </c>
      <c r="D464" s="9">
        <v>0</v>
      </c>
      <c r="E464" s="9">
        <v>16</v>
      </c>
      <c r="F464" s="9">
        <v>0</v>
      </c>
      <c r="G464" s="9">
        <v>0</v>
      </c>
      <c r="H464" s="9">
        <v>0</v>
      </c>
      <c r="I464" s="9">
        <v>0</v>
      </c>
      <c r="J464" s="9">
        <v>4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16</v>
      </c>
      <c r="X464" s="9">
        <v>0</v>
      </c>
      <c r="Y464" s="9">
        <v>64</v>
      </c>
      <c r="Z464" s="9">
        <v>0</v>
      </c>
    </row>
    <row r="465" spans="1:26" x14ac:dyDescent="0.25">
      <c r="A465" s="9" t="s">
        <v>37</v>
      </c>
      <c r="B465" s="9" t="s">
        <v>27</v>
      </c>
      <c r="C465" s="9">
        <v>0</v>
      </c>
      <c r="D465" s="9">
        <v>0</v>
      </c>
      <c r="E465" s="9">
        <v>20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12</v>
      </c>
      <c r="X465" s="9">
        <v>0</v>
      </c>
      <c r="Y465" s="9">
        <v>64</v>
      </c>
      <c r="Z465" s="9">
        <v>4</v>
      </c>
    </row>
    <row r="466" spans="1:26" x14ac:dyDescent="0.25">
      <c r="A466" s="9" t="s">
        <v>37</v>
      </c>
      <c r="B466" s="9" t="s">
        <v>27</v>
      </c>
      <c r="C466" s="9">
        <v>0</v>
      </c>
      <c r="D466" s="9">
        <v>0</v>
      </c>
      <c r="E466" s="9">
        <v>28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4</v>
      </c>
      <c r="U466" s="9">
        <v>0</v>
      </c>
      <c r="V466" s="9">
        <v>0</v>
      </c>
      <c r="W466" s="9">
        <v>0</v>
      </c>
      <c r="X466" s="9">
        <v>0</v>
      </c>
      <c r="Y466" s="9">
        <v>64</v>
      </c>
      <c r="Z466" s="9">
        <v>4</v>
      </c>
    </row>
    <row r="467" spans="1:26" x14ac:dyDescent="0.25">
      <c r="A467" s="9" t="s">
        <v>37</v>
      </c>
      <c r="B467" s="9" t="s">
        <v>28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24</v>
      </c>
      <c r="X467" s="9">
        <v>12</v>
      </c>
      <c r="Y467" s="9">
        <v>56</v>
      </c>
      <c r="Z467" s="9">
        <v>8</v>
      </c>
    </row>
    <row r="468" spans="1:26" x14ac:dyDescent="0.25">
      <c r="A468" s="9" t="s">
        <v>37</v>
      </c>
      <c r="B468" s="9" t="s">
        <v>28</v>
      </c>
      <c r="C468" s="9">
        <v>0</v>
      </c>
      <c r="D468" s="9">
        <v>0</v>
      </c>
      <c r="E468" s="9">
        <v>32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4</v>
      </c>
      <c r="X468" s="9">
        <v>4</v>
      </c>
      <c r="Y468" s="9">
        <v>60</v>
      </c>
      <c r="Z468" s="9">
        <v>0</v>
      </c>
    </row>
    <row r="469" spans="1:26" x14ac:dyDescent="0.25">
      <c r="A469" s="9" t="s">
        <v>37</v>
      </c>
      <c r="B469" s="9" t="s">
        <v>28</v>
      </c>
      <c r="C469" s="9">
        <v>0</v>
      </c>
      <c r="D469" s="9">
        <v>0</v>
      </c>
      <c r="E469" s="9">
        <v>12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4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28</v>
      </c>
      <c r="X469" s="9">
        <v>4</v>
      </c>
      <c r="Y469" s="9">
        <v>44</v>
      </c>
      <c r="Z469" s="9">
        <v>8</v>
      </c>
    </row>
    <row r="470" spans="1:26" x14ac:dyDescent="0.25">
      <c r="A470" s="9" t="s">
        <v>37</v>
      </c>
      <c r="B470" s="9" t="s">
        <v>28</v>
      </c>
      <c r="C470" s="9">
        <v>0</v>
      </c>
      <c r="D470" s="9">
        <v>0</v>
      </c>
      <c r="E470" s="9">
        <v>12</v>
      </c>
      <c r="F470" s="9">
        <v>0</v>
      </c>
      <c r="G470" s="9">
        <v>0</v>
      </c>
      <c r="H470" s="9">
        <v>4</v>
      </c>
      <c r="I470" s="9">
        <v>4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4</v>
      </c>
      <c r="U470" s="9">
        <v>0</v>
      </c>
      <c r="V470" s="9">
        <v>0</v>
      </c>
      <c r="W470" s="9">
        <v>16</v>
      </c>
      <c r="X470" s="9">
        <v>8</v>
      </c>
      <c r="Y470" s="9">
        <v>52</v>
      </c>
      <c r="Z470" s="9">
        <v>0</v>
      </c>
    </row>
    <row r="471" spans="1:26" x14ac:dyDescent="0.25">
      <c r="A471" s="9" t="s">
        <v>37</v>
      </c>
      <c r="B471" s="9" t="s">
        <v>28</v>
      </c>
      <c r="C471" s="9">
        <v>0</v>
      </c>
      <c r="D471" s="9">
        <v>0</v>
      </c>
      <c r="E471" s="9">
        <v>24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28</v>
      </c>
      <c r="X471" s="9">
        <v>4</v>
      </c>
      <c r="Y471" s="9">
        <v>44</v>
      </c>
      <c r="Z471" s="9">
        <v>0</v>
      </c>
    </row>
    <row r="472" spans="1:26" x14ac:dyDescent="0.25">
      <c r="A472" s="9" t="s">
        <v>37</v>
      </c>
      <c r="B472" s="9" t="s">
        <v>28</v>
      </c>
      <c r="C472" s="9">
        <v>0</v>
      </c>
      <c r="D472" s="9">
        <v>0</v>
      </c>
      <c r="E472" s="9">
        <v>40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4</v>
      </c>
      <c r="X472" s="9">
        <v>0</v>
      </c>
      <c r="Y472" s="9">
        <v>52</v>
      </c>
      <c r="Z472" s="9">
        <v>4</v>
      </c>
    </row>
    <row r="473" spans="1:26" x14ac:dyDescent="0.25">
      <c r="A473" s="9" t="s">
        <v>37</v>
      </c>
      <c r="B473" s="9" t="s">
        <v>28</v>
      </c>
      <c r="C473" s="9">
        <v>0</v>
      </c>
      <c r="D473" s="9">
        <v>0</v>
      </c>
      <c r="E473" s="9">
        <v>28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8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56</v>
      </c>
      <c r="Z473" s="9">
        <v>8</v>
      </c>
    </row>
    <row r="474" spans="1:26" x14ac:dyDescent="0.25">
      <c r="A474" s="9" t="s">
        <v>37</v>
      </c>
      <c r="B474" s="9" t="s">
        <v>28</v>
      </c>
      <c r="C474" s="9">
        <v>0</v>
      </c>
      <c r="D474" s="9">
        <v>0</v>
      </c>
      <c r="E474" s="9">
        <v>16</v>
      </c>
      <c r="F474" s="9">
        <v>0</v>
      </c>
      <c r="G474" s="9">
        <v>0</v>
      </c>
      <c r="H474" s="9">
        <v>4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72</v>
      </c>
      <c r="Z474" s="9">
        <v>8</v>
      </c>
    </row>
    <row r="475" spans="1:26" x14ac:dyDescent="0.25">
      <c r="A475" s="9" t="s">
        <v>37</v>
      </c>
      <c r="B475" s="9" t="s">
        <v>28</v>
      </c>
      <c r="C475" s="9">
        <v>0</v>
      </c>
      <c r="D475" s="9">
        <v>0</v>
      </c>
      <c r="E475" s="9">
        <v>12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8</v>
      </c>
      <c r="X475" s="9">
        <v>4</v>
      </c>
      <c r="Y475" s="9">
        <v>72</v>
      </c>
      <c r="Z475" s="9">
        <v>4</v>
      </c>
    </row>
    <row r="476" spans="1:26" x14ac:dyDescent="0.25">
      <c r="A476" s="9" t="s">
        <v>37</v>
      </c>
      <c r="B476" s="9" t="s">
        <v>28</v>
      </c>
      <c r="C476" s="9">
        <v>0</v>
      </c>
      <c r="D476" s="9">
        <v>0</v>
      </c>
      <c r="E476" s="9">
        <v>36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4</v>
      </c>
      <c r="X476" s="9">
        <v>4</v>
      </c>
      <c r="Y476" s="9">
        <v>48</v>
      </c>
      <c r="Z476" s="9">
        <v>8</v>
      </c>
    </row>
    <row r="477" spans="1:26" x14ac:dyDescent="0.25">
      <c r="A477" s="9" t="s">
        <v>37</v>
      </c>
      <c r="B477" s="9" t="s">
        <v>28</v>
      </c>
      <c r="C477" s="9">
        <v>0</v>
      </c>
      <c r="D477" s="9">
        <v>0</v>
      </c>
      <c r="E477" s="9">
        <v>24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24</v>
      </c>
      <c r="X477" s="9">
        <v>4</v>
      </c>
      <c r="Y477" s="9">
        <v>40</v>
      </c>
      <c r="Z477" s="9">
        <v>8</v>
      </c>
    </row>
    <row r="478" spans="1:26" x14ac:dyDescent="0.25">
      <c r="A478" s="9" t="s">
        <v>37</v>
      </c>
      <c r="B478" s="9" t="s">
        <v>28</v>
      </c>
      <c r="C478" s="9">
        <v>0</v>
      </c>
      <c r="D478" s="9">
        <v>0</v>
      </c>
      <c r="E478" s="9">
        <v>24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4</v>
      </c>
      <c r="X478" s="9">
        <v>0</v>
      </c>
      <c r="Y478" s="9">
        <v>72</v>
      </c>
      <c r="Z478" s="9">
        <v>0</v>
      </c>
    </row>
    <row r="479" spans="1:26" x14ac:dyDescent="0.25">
      <c r="A479" s="9" t="s">
        <v>37</v>
      </c>
      <c r="B479" s="9" t="s">
        <v>28</v>
      </c>
      <c r="C479" s="9">
        <v>0</v>
      </c>
      <c r="D479" s="9">
        <v>0</v>
      </c>
      <c r="E479" s="9">
        <v>12</v>
      </c>
      <c r="F479" s="9">
        <v>0</v>
      </c>
      <c r="G479" s="9">
        <v>0</v>
      </c>
      <c r="H479" s="9">
        <v>0</v>
      </c>
      <c r="I479" s="9">
        <v>0</v>
      </c>
      <c r="J479" s="9">
        <v>4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12</v>
      </c>
      <c r="X479" s="9">
        <v>0</v>
      </c>
      <c r="Y479" s="9">
        <v>64</v>
      </c>
      <c r="Z479" s="9">
        <v>8</v>
      </c>
    </row>
    <row r="480" spans="1:26" x14ac:dyDescent="0.25">
      <c r="A480" s="9" t="s">
        <v>37</v>
      </c>
      <c r="B480" s="9" t="s">
        <v>28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32</v>
      </c>
      <c r="X480" s="9">
        <v>4</v>
      </c>
      <c r="Y480" s="9">
        <v>64</v>
      </c>
      <c r="Z480" s="9">
        <v>0</v>
      </c>
    </row>
    <row r="481" spans="1:26" x14ac:dyDescent="0.25">
      <c r="A481" s="9" t="s">
        <v>37</v>
      </c>
      <c r="B481" s="9" t="s">
        <v>28</v>
      </c>
      <c r="C481" s="9">
        <v>0</v>
      </c>
      <c r="D481" s="9">
        <v>0</v>
      </c>
      <c r="E481" s="9">
        <v>16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12</v>
      </c>
      <c r="X481" s="9">
        <v>0</v>
      </c>
      <c r="Y481" s="9">
        <v>68</v>
      </c>
      <c r="Z481" s="9">
        <v>4</v>
      </c>
    </row>
    <row r="482" spans="1:26" x14ac:dyDescent="0.25">
      <c r="A482" s="9" t="s">
        <v>37</v>
      </c>
      <c r="B482" s="9" t="s">
        <v>29</v>
      </c>
      <c r="C482" s="9">
        <v>0</v>
      </c>
      <c r="D482" s="9">
        <v>0</v>
      </c>
      <c r="E482" s="9">
        <v>24</v>
      </c>
      <c r="F482" s="9">
        <v>0</v>
      </c>
      <c r="G482" s="9">
        <v>0</v>
      </c>
      <c r="H482" s="9">
        <v>0</v>
      </c>
      <c r="I482" s="9">
        <v>0</v>
      </c>
      <c r="J482" s="9">
        <v>4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4</v>
      </c>
      <c r="R482" s="9">
        <v>0</v>
      </c>
      <c r="S482" s="9">
        <v>4</v>
      </c>
      <c r="T482" s="9">
        <v>0</v>
      </c>
      <c r="U482" s="9">
        <v>0</v>
      </c>
      <c r="V482" s="9">
        <v>0</v>
      </c>
      <c r="W482" s="9">
        <v>16</v>
      </c>
      <c r="X482" s="9">
        <v>0</v>
      </c>
      <c r="Y482" s="9">
        <v>44</v>
      </c>
      <c r="Z482" s="9">
        <v>4</v>
      </c>
    </row>
    <row r="483" spans="1:26" x14ac:dyDescent="0.25">
      <c r="A483" s="9" t="s">
        <v>37</v>
      </c>
      <c r="B483" s="9" t="s">
        <v>29</v>
      </c>
      <c r="C483" s="9">
        <v>0</v>
      </c>
      <c r="D483" s="9">
        <v>0</v>
      </c>
      <c r="E483" s="9">
        <v>36</v>
      </c>
      <c r="F483" s="9">
        <v>0</v>
      </c>
      <c r="G483" s="9">
        <v>0</v>
      </c>
      <c r="H483" s="9">
        <v>0</v>
      </c>
      <c r="I483" s="9">
        <v>4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8</v>
      </c>
      <c r="X483" s="9">
        <v>0</v>
      </c>
      <c r="Y483" s="9">
        <v>52</v>
      </c>
      <c r="Z483" s="9">
        <v>0</v>
      </c>
    </row>
    <row r="484" spans="1:26" x14ac:dyDescent="0.25">
      <c r="A484" s="9" t="s">
        <v>37</v>
      </c>
      <c r="B484" s="9" t="s">
        <v>29</v>
      </c>
      <c r="C484" s="9">
        <v>0</v>
      </c>
      <c r="D484" s="9">
        <v>0</v>
      </c>
      <c r="E484" s="9">
        <v>8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4</v>
      </c>
      <c r="Y484" s="9">
        <v>88</v>
      </c>
      <c r="Z484" s="9">
        <v>0</v>
      </c>
    </row>
    <row r="485" spans="1:26" x14ac:dyDescent="0.25">
      <c r="A485" s="9" t="s">
        <v>37</v>
      </c>
      <c r="B485" s="9" t="s">
        <v>29</v>
      </c>
      <c r="C485" s="9">
        <v>0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100</v>
      </c>
      <c r="Z485" s="9">
        <v>0</v>
      </c>
    </row>
    <row r="486" spans="1:26" x14ac:dyDescent="0.25">
      <c r="A486" s="9" t="s">
        <v>37</v>
      </c>
      <c r="B486" s="9" t="s">
        <v>29</v>
      </c>
      <c r="C486" s="9">
        <v>0</v>
      </c>
      <c r="D486" s="9">
        <v>0</v>
      </c>
      <c r="E486" s="9">
        <v>20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4</v>
      </c>
      <c r="X486" s="9">
        <v>4</v>
      </c>
      <c r="Y486" s="9">
        <v>72</v>
      </c>
      <c r="Z486" s="9">
        <v>0</v>
      </c>
    </row>
    <row r="487" spans="1:26" x14ac:dyDescent="0.25">
      <c r="A487" s="9" t="s">
        <v>37</v>
      </c>
      <c r="B487" s="9" t="s">
        <v>29</v>
      </c>
      <c r="C487" s="9">
        <v>0</v>
      </c>
      <c r="D487" s="9">
        <v>0</v>
      </c>
      <c r="E487" s="9">
        <v>8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4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12</v>
      </c>
      <c r="X487" s="9">
        <v>4</v>
      </c>
      <c r="Y487" s="9">
        <v>72</v>
      </c>
      <c r="Z487" s="9">
        <v>0</v>
      </c>
    </row>
    <row r="488" spans="1:26" x14ac:dyDescent="0.25">
      <c r="A488" s="9" t="s">
        <v>37</v>
      </c>
      <c r="B488" s="9" t="s">
        <v>29</v>
      </c>
      <c r="C488" s="9">
        <v>0</v>
      </c>
      <c r="D488" s="9">
        <v>0</v>
      </c>
      <c r="E488" s="9">
        <v>20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16</v>
      </c>
      <c r="X488" s="9">
        <v>4</v>
      </c>
      <c r="Y488" s="9">
        <v>48</v>
      </c>
      <c r="Z488" s="9">
        <v>12</v>
      </c>
    </row>
    <row r="489" spans="1:26" x14ac:dyDescent="0.25">
      <c r="A489" s="9" t="s">
        <v>37</v>
      </c>
      <c r="B489" s="9" t="s">
        <v>29</v>
      </c>
      <c r="C489" s="9">
        <v>56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12</v>
      </c>
      <c r="X489" s="9">
        <v>0</v>
      </c>
      <c r="Y489" s="9">
        <v>28</v>
      </c>
      <c r="Z489" s="9">
        <v>4</v>
      </c>
    </row>
    <row r="490" spans="1:26" x14ac:dyDescent="0.25">
      <c r="A490" s="9" t="s">
        <v>37</v>
      </c>
      <c r="B490" s="9" t="s">
        <v>29</v>
      </c>
      <c r="C490" s="9">
        <v>0</v>
      </c>
      <c r="D490" s="9">
        <v>0</v>
      </c>
      <c r="E490" s="9">
        <v>16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24</v>
      </c>
      <c r="T490" s="9">
        <v>0</v>
      </c>
      <c r="U490" s="9">
        <v>0</v>
      </c>
      <c r="V490" s="9">
        <v>0</v>
      </c>
      <c r="W490" s="9">
        <v>8</v>
      </c>
      <c r="X490" s="9">
        <v>8</v>
      </c>
      <c r="Y490" s="9">
        <v>44</v>
      </c>
      <c r="Z490" s="9">
        <v>0</v>
      </c>
    </row>
    <row r="491" spans="1:26" x14ac:dyDescent="0.25">
      <c r="A491" s="9" t="s">
        <v>37</v>
      </c>
      <c r="B491" s="9" t="s">
        <v>29</v>
      </c>
      <c r="C491" s="9">
        <v>0</v>
      </c>
      <c r="D491" s="9">
        <v>0</v>
      </c>
      <c r="E491" s="9">
        <v>16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12</v>
      </c>
      <c r="X491" s="9">
        <v>4</v>
      </c>
      <c r="Y491" s="9">
        <v>68</v>
      </c>
      <c r="Z491" s="9">
        <v>0</v>
      </c>
    </row>
    <row r="492" spans="1:26" x14ac:dyDescent="0.25">
      <c r="A492" s="9" t="s">
        <v>37</v>
      </c>
      <c r="B492" s="9" t="s">
        <v>29</v>
      </c>
      <c r="C492" s="9">
        <v>0</v>
      </c>
      <c r="D492" s="9">
        <v>0</v>
      </c>
      <c r="E492" s="9">
        <v>16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4</v>
      </c>
      <c r="X492" s="9">
        <v>4</v>
      </c>
      <c r="Y492" s="9">
        <v>76</v>
      </c>
      <c r="Z492" s="9">
        <v>0</v>
      </c>
    </row>
    <row r="493" spans="1:26" x14ac:dyDescent="0.25">
      <c r="A493" s="9" t="s">
        <v>37</v>
      </c>
      <c r="B493" s="9" t="s">
        <v>29</v>
      </c>
      <c r="C493" s="9">
        <v>0</v>
      </c>
      <c r="D493" s="9">
        <v>0</v>
      </c>
      <c r="E493" s="9">
        <v>16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4</v>
      </c>
      <c r="X493" s="9">
        <v>8</v>
      </c>
      <c r="Y493" s="9">
        <v>72</v>
      </c>
      <c r="Z493" s="9">
        <v>0</v>
      </c>
    </row>
    <row r="494" spans="1:26" x14ac:dyDescent="0.25">
      <c r="A494" s="9" t="s">
        <v>37</v>
      </c>
      <c r="B494" s="9" t="s">
        <v>29</v>
      </c>
      <c r="C494" s="9">
        <v>0</v>
      </c>
      <c r="D494" s="9">
        <v>0</v>
      </c>
      <c r="E494" s="9">
        <v>32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4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8</v>
      </c>
      <c r="X494" s="9">
        <v>4</v>
      </c>
      <c r="Y494" s="9">
        <v>52</v>
      </c>
      <c r="Z494" s="9">
        <v>0</v>
      </c>
    </row>
    <row r="495" spans="1:26" x14ac:dyDescent="0.25">
      <c r="A495" s="9" t="s">
        <v>37</v>
      </c>
      <c r="B495" s="9" t="s">
        <v>29</v>
      </c>
      <c r="C495" s="9">
        <v>0</v>
      </c>
      <c r="D495" s="9">
        <v>0</v>
      </c>
      <c r="E495" s="9">
        <v>12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24</v>
      </c>
      <c r="X495" s="9">
        <v>0</v>
      </c>
      <c r="Y495" s="9">
        <v>64</v>
      </c>
      <c r="Z495" s="9">
        <v>0</v>
      </c>
    </row>
    <row r="496" spans="1:26" x14ac:dyDescent="0.25">
      <c r="A496" s="9" t="s">
        <v>37</v>
      </c>
      <c r="B496" s="9" t="s">
        <v>29</v>
      </c>
      <c r="C496" s="9">
        <v>0</v>
      </c>
      <c r="D496" s="9">
        <v>0</v>
      </c>
      <c r="E496" s="9">
        <v>36</v>
      </c>
      <c r="F496" s="9">
        <v>0</v>
      </c>
      <c r="G496" s="9">
        <v>0</v>
      </c>
      <c r="H496" s="9">
        <v>0</v>
      </c>
      <c r="I496" s="9">
        <v>0</v>
      </c>
      <c r="J496" s="9">
        <v>4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20</v>
      </c>
      <c r="X496" s="9">
        <v>12</v>
      </c>
      <c r="Y496" s="9">
        <v>28</v>
      </c>
      <c r="Z496" s="9">
        <v>0</v>
      </c>
    </row>
    <row r="497" spans="1:26" x14ac:dyDescent="0.25">
      <c r="A497" s="9" t="s">
        <v>37</v>
      </c>
      <c r="B497" s="9" t="s">
        <v>30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8</v>
      </c>
      <c r="O497" s="9">
        <v>0</v>
      </c>
      <c r="P497" s="9">
        <v>0</v>
      </c>
      <c r="Q497" s="9">
        <v>0</v>
      </c>
      <c r="R497" s="9">
        <v>0</v>
      </c>
      <c r="S497" s="9">
        <v>40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44</v>
      </c>
      <c r="Z497" s="9">
        <v>8</v>
      </c>
    </row>
    <row r="498" spans="1:26" x14ac:dyDescent="0.25">
      <c r="A498" s="9" t="s">
        <v>37</v>
      </c>
      <c r="B498" s="9" t="s">
        <v>30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8</v>
      </c>
      <c r="R498" s="9">
        <v>0</v>
      </c>
      <c r="S498" s="9">
        <v>20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72</v>
      </c>
      <c r="Z498" s="9">
        <v>0</v>
      </c>
    </row>
    <row r="499" spans="1:26" x14ac:dyDescent="0.25">
      <c r="A499" s="9" t="s">
        <v>37</v>
      </c>
      <c r="B499" s="9" t="s">
        <v>30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4</v>
      </c>
      <c r="O499" s="9">
        <v>0</v>
      </c>
      <c r="P499" s="9">
        <v>0</v>
      </c>
      <c r="Q499" s="9">
        <v>0</v>
      </c>
      <c r="R499" s="9">
        <v>0</v>
      </c>
      <c r="S499" s="9">
        <v>4</v>
      </c>
      <c r="T499" s="9">
        <v>4</v>
      </c>
      <c r="U499" s="9">
        <v>0</v>
      </c>
      <c r="V499" s="9">
        <v>0</v>
      </c>
      <c r="W499" s="9">
        <v>8</v>
      </c>
      <c r="X499" s="9">
        <v>0</v>
      </c>
      <c r="Y499" s="9">
        <v>80</v>
      </c>
      <c r="Z499" s="9">
        <v>0</v>
      </c>
    </row>
    <row r="500" spans="1:26" x14ac:dyDescent="0.25">
      <c r="A500" s="9" t="s">
        <v>37</v>
      </c>
      <c r="B500" s="9" t="s">
        <v>30</v>
      </c>
      <c r="C500" s="9">
        <v>0</v>
      </c>
      <c r="D500" s="9">
        <v>0</v>
      </c>
      <c r="E500" s="9">
        <v>16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8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8</v>
      </c>
      <c r="X500" s="9">
        <v>0</v>
      </c>
      <c r="Y500" s="9">
        <v>64</v>
      </c>
      <c r="Z500" s="9">
        <v>4</v>
      </c>
    </row>
    <row r="501" spans="1:26" x14ac:dyDescent="0.25">
      <c r="A501" s="9" t="s">
        <v>37</v>
      </c>
      <c r="B501" s="9" t="s">
        <v>30</v>
      </c>
      <c r="C501" s="9">
        <v>0</v>
      </c>
      <c r="D501" s="9">
        <v>0</v>
      </c>
      <c r="E501" s="9">
        <v>20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12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4</v>
      </c>
      <c r="Y501" s="9">
        <v>64</v>
      </c>
      <c r="Z501" s="9">
        <v>0</v>
      </c>
    </row>
    <row r="502" spans="1:26" x14ac:dyDescent="0.25">
      <c r="A502" s="9" t="s">
        <v>37</v>
      </c>
      <c r="B502" s="9" t="s">
        <v>30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28</v>
      </c>
      <c r="X502" s="9">
        <v>12</v>
      </c>
      <c r="Y502" s="9">
        <v>60</v>
      </c>
      <c r="Z502" s="9">
        <v>0</v>
      </c>
    </row>
    <row r="503" spans="1:26" x14ac:dyDescent="0.25">
      <c r="A503" s="9" t="s">
        <v>37</v>
      </c>
      <c r="B503" s="9" t="s">
        <v>30</v>
      </c>
      <c r="C503" s="9">
        <v>0</v>
      </c>
      <c r="D503" s="9">
        <v>0</v>
      </c>
      <c r="E503" s="9">
        <v>0</v>
      </c>
      <c r="F503" s="9">
        <v>20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4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16</v>
      </c>
      <c r="X503" s="9">
        <v>0</v>
      </c>
      <c r="Y503" s="9">
        <v>60</v>
      </c>
      <c r="Z503" s="9">
        <v>0</v>
      </c>
    </row>
    <row r="504" spans="1:26" x14ac:dyDescent="0.25">
      <c r="A504" s="9" t="s">
        <v>37</v>
      </c>
      <c r="B504" s="9" t="s">
        <v>30</v>
      </c>
      <c r="C504" s="9">
        <v>0</v>
      </c>
      <c r="D504" s="9">
        <v>0</v>
      </c>
      <c r="E504" s="9">
        <v>4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4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4</v>
      </c>
      <c r="X504" s="9">
        <v>0</v>
      </c>
      <c r="Y504" s="9">
        <v>84</v>
      </c>
      <c r="Z504" s="9">
        <v>4</v>
      </c>
    </row>
    <row r="505" spans="1:26" x14ac:dyDescent="0.25">
      <c r="A505" s="9" t="s">
        <v>37</v>
      </c>
      <c r="B505" s="9" t="s">
        <v>30</v>
      </c>
      <c r="C505" s="9">
        <v>8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16</v>
      </c>
      <c r="X505" s="9">
        <v>8</v>
      </c>
      <c r="Y505" s="9">
        <v>64</v>
      </c>
      <c r="Z505" s="9">
        <v>4</v>
      </c>
    </row>
    <row r="506" spans="1:26" x14ac:dyDescent="0.25">
      <c r="A506" s="9" t="s">
        <v>37</v>
      </c>
      <c r="B506" s="9" t="s">
        <v>30</v>
      </c>
      <c r="C506" s="9">
        <v>0</v>
      </c>
      <c r="D506" s="9">
        <v>0</v>
      </c>
      <c r="E506" s="9">
        <v>0</v>
      </c>
      <c r="F506" s="9">
        <v>16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4</v>
      </c>
      <c r="R506" s="9">
        <v>0</v>
      </c>
      <c r="S506" s="9">
        <v>8</v>
      </c>
      <c r="T506" s="9">
        <v>0</v>
      </c>
      <c r="U506" s="9">
        <v>0</v>
      </c>
      <c r="V506" s="9">
        <v>0</v>
      </c>
      <c r="W506" s="9">
        <v>20</v>
      </c>
      <c r="X506" s="9">
        <v>0</v>
      </c>
      <c r="Y506" s="9">
        <v>52</v>
      </c>
      <c r="Z506" s="9">
        <v>0</v>
      </c>
    </row>
    <row r="507" spans="1:26" x14ac:dyDescent="0.25">
      <c r="A507" s="9" t="s">
        <v>37</v>
      </c>
      <c r="B507" s="9" t="s">
        <v>30</v>
      </c>
      <c r="C507" s="9">
        <v>0</v>
      </c>
      <c r="D507" s="9">
        <v>0</v>
      </c>
      <c r="E507" s="9">
        <v>16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4</v>
      </c>
      <c r="O507" s="9">
        <v>0</v>
      </c>
      <c r="P507" s="9">
        <v>0</v>
      </c>
      <c r="Q507" s="9">
        <v>0</v>
      </c>
      <c r="R507" s="9">
        <v>0</v>
      </c>
      <c r="S507" s="9">
        <v>4</v>
      </c>
      <c r="T507" s="9">
        <v>0</v>
      </c>
      <c r="U507" s="9">
        <v>0</v>
      </c>
      <c r="V507" s="9">
        <v>0</v>
      </c>
      <c r="W507" s="9">
        <v>8</v>
      </c>
      <c r="X507" s="9">
        <v>0</v>
      </c>
      <c r="Y507" s="9">
        <v>52</v>
      </c>
      <c r="Z507" s="9">
        <v>16</v>
      </c>
    </row>
    <row r="508" spans="1:26" x14ac:dyDescent="0.25">
      <c r="A508" s="9" t="s">
        <v>37</v>
      </c>
      <c r="B508" s="9" t="s">
        <v>30</v>
      </c>
      <c r="C508" s="9">
        <v>0</v>
      </c>
      <c r="D508" s="9">
        <v>0</v>
      </c>
      <c r="E508" s="9">
        <v>8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4</v>
      </c>
      <c r="N508" s="9">
        <v>4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8</v>
      </c>
      <c r="X508" s="9">
        <v>0</v>
      </c>
      <c r="Y508" s="9">
        <v>68</v>
      </c>
      <c r="Z508" s="9">
        <v>8</v>
      </c>
    </row>
    <row r="509" spans="1:26" x14ac:dyDescent="0.25">
      <c r="A509" s="9" t="s">
        <v>37</v>
      </c>
      <c r="B509" s="9" t="s">
        <v>30</v>
      </c>
      <c r="C509" s="9">
        <v>0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20</v>
      </c>
      <c r="N509" s="9">
        <v>4</v>
      </c>
      <c r="O509" s="9">
        <v>0</v>
      </c>
      <c r="P509" s="9">
        <v>0</v>
      </c>
      <c r="Q509" s="9">
        <v>0</v>
      </c>
      <c r="R509" s="9">
        <v>0</v>
      </c>
      <c r="S509" s="9">
        <v>12</v>
      </c>
      <c r="T509" s="9">
        <v>0</v>
      </c>
      <c r="U509" s="9">
        <v>0</v>
      </c>
      <c r="V509" s="9">
        <v>0</v>
      </c>
      <c r="W509" s="9">
        <v>0</v>
      </c>
      <c r="X509" s="9">
        <v>4</v>
      </c>
      <c r="Y509" s="9">
        <v>60</v>
      </c>
      <c r="Z509" s="9">
        <v>0</v>
      </c>
    </row>
    <row r="510" spans="1:26" x14ac:dyDescent="0.25">
      <c r="A510" s="9" t="s">
        <v>37</v>
      </c>
      <c r="B510" s="9" t="s">
        <v>30</v>
      </c>
      <c r="C510" s="9">
        <v>0</v>
      </c>
      <c r="D510" s="9">
        <v>0</v>
      </c>
      <c r="E510" s="9">
        <v>4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36</v>
      </c>
      <c r="T510" s="9">
        <v>4</v>
      </c>
      <c r="U510" s="9">
        <v>0</v>
      </c>
      <c r="V510" s="9">
        <v>0</v>
      </c>
      <c r="W510" s="9">
        <v>0</v>
      </c>
      <c r="X510" s="9">
        <v>0</v>
      </c>
      <c r="Y510" s="9">
        <v>52</v>
      </c>
      <c r="Z510" s="9">
        <v>4</v>
      </c>
    </row>
    <row r="511" spans="1:26" x14ac:dyDescent="0.25">
      <c r="A511" s="9" t="s">
        <v>37</v>
      </c>
      <c r="B511" s="9" t="s">
        <v>30</v>
      </c>
      <c r="C511" s="9">
        <v>0</v>
      </c>
      <c r="D511" s="9">
        <v>0</v>
      </c>
      <c r="E511" s="9">
        <v>4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4</v>
      </c>
      <c r="X511" s="9">
        <v>0</v>
      </c>
      <c r="Y511" s="9">
        <v>92</v>
      </c>
      <c r="Z511" s="9">
        <v>0</v>
      </c>
    </row>
    <row r="512" spans="1:26" x14ac:dyDescent="0.25">
      <c r="A512" s="9" t="s">
        <v>37</v>
      </c>
      <c r="B512" s="9" t="s">
        <v>31</v>
      </c>
      <c r="C512" s="9">
        <v>0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8</v>
      </c>
      <c r="X512" s="9">
        <v>12</v>
      </c>
      <c r="Y512" s="9">
        <v>76</v>
      </c>
      <c r="Z512" s="9">
        <v>4</v>
      </c>
    </row>
    <row r="513" spans="1:26" x14ac:dyDescent="0.25">
      <c r="A513" s="9" t="s">
        <v>37</v>
      </c>
      <c r="B513" s="9" t="s">
        <v>31</v>
      </c>
      <c r="C513" s="9">
        <v>0</v>
      </c>
      <c r="D513" s="9">
        <v>0</v>
      </c>
      <c r="E513" s="9">
        <v>32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4</v>
      </c>
      <c r="X513" s="9">
        <v>0</v>
      </c>
      <c r="Y513" s="9">
        <v>64</v>
      </c>
      <c r="Z513" s="9">
        <v>0</v>
      </c>
    </row>
    <row r="514" spans="1:26" x14ac:dyDescent="0.25">
      <c r="A514" s="9" t="s">
        <v>37</v>
      </c>
      <c r="B514" s="9" t="s">
        <v>31</v>
      </c>
      <c r="C514" s="9">
        <v>0</v>
      </c>
      <c r="D514" s="9">
        <v>0</v>
      </c>
      <c r="E514" s="9">
        <v>4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12</v>
      </c>
      <c r="N514" s="9">
        <v>4</v>
      </c>
      <c r="O514" s="9">
        <v>0</v>
      </c>
      <c r="P514" s="9">
        <v>0</v>
      </c>
      <c r="Q514" s="9">
        <v>0</v>
      </c>
      <c r="R514" s="9">
        <v>0</v>
      </c>
      <c r="S514" s="9">
        <v>8</v>
      </c>
      <c r="T514" s="9">
        <v>0</v>
      </c>
      <c r="U514" s="9">
        <v>0</v>
      </c>
      <c r="V514" s="9">
        <v>0</v>
      </c>
      <c r="W514" s="9">
        <v>4</v>
      </c>
      <c r="X514" s="9">
        <v>0</v>
      </c>
      <c r="Y514" s="9">
        <v>68</v>
      </c>
      <c r="Z514" s="9">
        <v>0</v>
      </c>
    </row>
    <row r="515" spans="1:26" x14ac:dyDescent="0.25">
      <c r="A515" s="9" t="s">
        <v>37</v>
      </c>
      <c r="B515" s="9" t="s">
        <v>31</v>
      </c>
      <c r="C515" s="9">
        <v>0</v>
      </c>
      <c r="D515" s="9">
        <v>0</v>
      </c>
      <c r="E515" s="9">
        <v>8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4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4</v>
      </c>
      <c r="X515" s="9">
        <v>16</v>
      </c>
      <c r="Y515" s="9">
        <v>68</v>
      </c>
      <c r="Z515" s="9">
        <v>0</v>
      </c>
    </row>
    <row r="516" spans="1:26" x14ac:dyDescent="0.25">
      <c r="A516" s="9" t="s">
        <v>37</v>
      </c>
      <c r="B516" s="9" t="s">
        <v>31</v>
      </c>
      <c r="C516" s="9">
        <v>0</v>
      </c>
      <c r="D516" s="9">
        <v>0</v>
      </c>
      <c r="E516" s="9">
        <v>24</v>
      </c>
      <c r="F516" s="9">
        <v>0</v>
      </c>
      <c r="G516" s="9">
        <v>0</v>
      </c>
      <c r="H516" s="9">
        <v>0</v>
      </c>
      <c r="I516" s="9">
        <v>0</v>
      </c>
      <c r="J516" s="9">
        <v>4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8</v>
      </c>
      <c r="X516" s="9">
        <v>0</v>
      </c>
      <c r="Y516" s="9">
        <v>64</v>
      </c>
      <c r="Z516" s="9">
        <v>0</v>
      </c>
    </row>
    <row r="517" spans="1:26" x14ac:dyDescent="0.25">
      <c r="A517" s="9" t="s">
        <v>37</v>
      </c>
      <c r="B517" s="9" t="s">
        <v>31</v>
      </c>
      <c r="C517" s="9">
        <v>0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4</v>
      </c>
      <c r="T517" s="9">
        <v>4</v>
      </c>
      <c r="U517" s="9">
        <v>0</v>
      </c>
      <c r="V517" s="9">
        <v>0</v>
      </c>
      <c r="W517" s="9">
        <v>4</v>
      </c>
      <c r="X517" s="9">
        <v>8</v>
      </c>
      <c r="Y517" s="9">
        <v>80</v>
      </c>
      <c r="Z517" s="9">
        <v>0</v>
      </c>
    </row>
    <row r="518" spans="1:26" x14ac:dyDescent="0.25">
      <c r="A518" s="9" t="s">
        <v>37</v>
      </c>
      <c r="B518" s="9" t="s">
        <v>31</v>
      </c>
      <c r="C518" s="9">
        <v>0</v>
      </c>
      <c r="D518" s="9">
        <v>0</v>
      </c>
      <c r="E518" s="9">
        <v>16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12</v>
      </c>
      <c r="X518" s="9">
        <v>12</v>
      </c>
      <c r="Y518" s="9">
        <v>60</v>
      </c>
      <c r="Z518" s="9">
        <v>0</v>
      </c>
    </row>
    <row r="519" spans="1:26" x14ac:dyDescent="0.25">
      <c r="A519" s="9" t="s">
        <v>37</v>
      </c>
      <c r="B519" s="9" t="s">
        <v>31</v>
      </c>
      <c r="C519" s="9">
        <v>0</v>
      </c>
      <c r="D519" s="9">
        <v>0</v>
      </c>
      <c r="E519" s="9">
        <v>0</v>
      </c>
      <c r="F519" s="9">
        <v>8</v>
      </c>
      <c r="G519" s="9">
        <v>0</v>
      </c>
      <c r="H519" s="9">
        <v>0</v>
      </c>
      <c r="I519" s="9">
        <v>0</v>
      </c>
      <c r="J519" s="9">
        <v>4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20</v>
      </c>
      <c r="X519" s="9">
        <v>4</v>
      </c>
      <c r="Y519" s="9">
        <v>60</v>
      </c>
      <c r="Z519" s="9">
        <v>4</v>
      </c>
    </row>
    <row r="520" spans="1:26" x14ac:dyDescent="0.25">
      <c r="A520" s="9" t="s">
        <v>37</v>
      </c>
      <c r="B520" s="9" t="s">
        <v>31</v>
      </c>
      <c r="C520" s="9">
        <v>0</v>
      </c>
      <c r="D520" s="9">
        <v>0</v>
      </c>
      <c r="E520" s="9">
        <v>16</v>
      </c>
      <c r="F520" s="9">
        <v>0</v>
      </c>
      <c r="G520" s="9">
        <v>0</v>
      </c>
      <c r="H520" s="9">
        <v>0</v>
      </c>
      <c r="I520" s="9">
        <v>4</v>
      </c>
      <c r="J520" s="9">
        <v>0</v>
      </c>
      <c r="K520" s="9">
        <v>4</v>
      </c>
      <c r="L520" s="9">
        <v>0</v>
      </c>
      <c r="M520" s="9">
        <v>0</v>
      </c>
      <c r="N520" s="9">
        <v>4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8</v>
      </c>
      <c r="Y520" s="9">
        <v>64</v>
      </c>
      <c r="Z520" s="9">
        <v>0</v>
      </c>
    </row>
    <row r="521" spans="1:26" x14ac:dyDescent="0.25">
      <c r="A521" s="9" t="s">
        <v>37</v>
      </c>
      <c r="B521" s="9" t="s">
        <v>31</v>
      </c>
      <c r="C521" s="9">
        <v>0</v>
      </c>
      <c r="D521" s="9">
        <v>0</v>
      </c>
      <c r="E521" s="9">
        <v>24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4</v>
      </c>
      <c r="N521" s="9">
        <v>4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8</v>
      </c>
      <c r="X521" s="9">
        <v>8</v>
      </c>
      <c r="Y521" s="9">
        <v>48</v>
      </c>
      <c r="Z521" s="9">
        <v>4</v>
      </c>
    </row>
    <row r="522" spans="1:26" x14ac:dyDescent="0.25">
      <c r="A522" s="9" t="s">
        <v>37</v>
      </c>
      <c r="B522" s="9" t="s">
        <v>31</v>
      </c>
      <c r="C522" s="9">
        <v>0</v>
      </c>
      <c r="D522" s="9">
        <v>0</v>
      </c>
      <c r="E522" s="9">
        <v>8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20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20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52</v>
      </c>
      <c r="Z522" s="9">
        <v>0</v>
      </c>
    </row>
    <row r="523" spans="1:26" x14ac:dyDescent="0.25">
      <c r="A523" s="9" t="s">
        <v>37</v>
      </c>
      <c r="B523" s="9" t="s">
        <v>31</v>
      </c>
      <c r="C523" s="9">
        <v>0</v>
      </c>
      <c r="D523" s="9">
        <v>0</v>
      </c>
      <c r="E523" s="9">
        <v>24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8</v>
      </c>
      <c r="X523" s="9">
        <v>4</v>
      </c>
      <c r="Y523" s="9">
        <v>64</v>
      </c>
      <c r="Z523" s="9">
        <v>0</v>
      </c>
    </row>
    <row r="524" spans="1:26" x14ac:dyDescent="0.25">
      <c r="A524" s="9" t="s">
        <v>37</v>
      </c>
      <c r="B524" s="9" t="s">
        <v>31</v>
      </c>
      <c r="C524" s="9">
        <v>0</v>
      </c>
      <c r="D524" s="9">
        <v>0</v>
      </c>
      <c r="E524" s="9">
        <v>24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4</v>
      </c>
      <c r="X524" s="9">
        <v>8</v>
      </c>
      <c r="Y524" s="9">
        <v>60</v>
      </c>
      <c r="Z524" s="9">
        <v>4</v>
      </c>
    </row>
    <row r="525" spans="1:26" x14ac:dyDescent="0.25">
      <c r="A525" s="9" t="s">
        <v>37</v>
      </c>
      <c r="B525" s="9" t="s">
        <v>31</v>
      </c>
      <c r="C525" s="9">
        <v>0</v>
      </c>
      <c r="D525" s="9">
        <v>0</v>
      </c>
      <c r="E525" s="9">
        <v>12</v>
      </c>
      <c r="F525" s="9">
        <v>0</v>
      </c>
      <c r="G525" s="9">
        <v>0</v>
      </c>
      <c r="H525" s="9">
        <v>0</v>
      </c>
      <c r="I525" s="9">
        <v>0</v>
      </c>
      <c r="J525" s="9">
        <v>8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40</v>
      </c>
      <c r="X525" s="9">
        <v>8</v>
      </c>
      <c r="Y525" s="9">
        <v>12</v>
      </c>
      <c r="Z525" s="9">
        <v>20</v>
      </c>
    </row>
    <row r="526" spans="1:26" x14ac:dyDescent="0.25">
      <c r="A526" s="9" t="s">
        <v>37</v>
      </c>
      <c r="B526" s="9" t="s">
        <v>31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16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12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60</v>
      </c>
      <c r="Z526" s="9">
        <v>12</v>
      </c>
    </row>
    <row r="527" spans="1:26" x14ac:dyDescent="0.25">
      <c r="A527" s="9" t="s">
        <v>37</v>
      </c>
      <c r="B527" s="9" t="s">
        <v>32</v>
      </c>
      <c r="C527" s="9">
        <v>0</v>
      </c>
      <c r="D527" s="9">
        <v>0</v>
      </c>
      <c r="E527" s="9">
        <v>16</v>
      </c>
      <c r="F527" s="9">
        <v>0</v>
      </c>
      <c r="G527" s="9">
        <v>0</v>
      </c>
      <c r="H527" s="9">
        <v>0</v>
      </c>
      <c r="I527" s="9">
        <v>0</v>
      </c>
      <c r="J527" s="9">
        <v>8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52</v>
      </c>
      <c r="X527" s="9">
        <v>0</v>
      </c>
      <c r="Y527" s="9">
        <v>0</v>
      </c>
      <c r="Z527" s="9">
        <v>24</v>
      </c>
    </row>
    <row r="528" spans="1:26" x14ac:dyDescent="0.25">
      <c r="A528" s="9" t="s">
        <v>37</v>
      </c>
      <c r="B528" s="9" t="s">
        <v>32</v>
      </c>
      <c r="C528" s="9">
        <v>0</v>
      </c>
      <c r="D528" s="9">
        <v>0</v>
      </c>
      <c r="E528" s="9">
        <v>12</v>
      </c>
      <c r="F528" s="9">
        <v>0</v>
      </c>
      <c r="G528" s="9">
        <v>0</v>
      </c>
      <c r="H528" s="9">
        <v>0</v>
      </c>
      <c r="I528" s="9">
        <v>0</v>
      </c>
      <c r="J528" s="9">
        <v>4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4</v>
      </c>
      <c r="Y528" s="9">
        <v>80</v>
      </c>
      <c r="Z528" s="9">
        <v>0</v>
      </c>
    </row>
    <row r="529" spans="1:26" x14ac:dyDescent="0.25">
      <c r="A529" s="9" t="s">
        <v>37</v>
      </c>
      <c r="B529" s="9" t="s">
        <v>32</v>
      </c>
      <c r="C529" s="9">
        <v>0</v>
      </c>
      <c r="D529" s="9">
        <v>0</v>
      </c>
      <c r="E529" s="9">
        <v>8</v>
      </c>
      <c r="F529" s="9">
        <v>0</v>
      </c>
      <c r="G529" s="9">
        <v>0</v>
      </c>
      <c r="H529" s="9">
        <v>0</v>
      </c>
      <c r="I529" s="9">
        <v>0</v>
      </c>
      <c r="J529" s="9">
        <v>4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4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28</v>
      </c>
      <c r="X529" s="9">
        <v>12</v>
      </c>
      <c r="Y529" s="9">
        <v>44</v>
      </c>
      <c r="Z529" s="9">
        <v>0</v>
      </c>
    </row>
    <row r="530" spans="1:26" x14ac:dyDescent="0.25">
      <c r="A530" s="9" t="s">
        <v>37</v>
      </c>
      <c r="B530" s="9" t="s">
        <v>32</v>
      </c>
      <c r="C530" s="9">
        <v>0</v>
      </c>
      <c r="D530" s="9">
        <v>0</v>
      </c>
      <c r="E530" s="9">
        <v>12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12</v>
      </c>
      <c r="X530" s="9">
        <v>0</v>
      </c>
      <c r="Y530" s="9">
        <v>76</v>
      </c>
      <c r="Z530" s="9">
        <v>0</v>
      </c>
    </row>
    <row r="531" spans="1:26" x14ac:dyDescent="0.25">
      <c r="A531" s="9" t="s">
        <v>37</v>
      </c>
      <c r="B531" s="9" t="s">
        <v>32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4</v>
      </c>
      <c r="O531" s="9">
        <v>0</v>
      </c>
      <c r="P531" s="9">
        <v>0</v>
      </c>
      <c r="Q531" s="9">
        <v>0</v>
      </c>
      <c r="R531" s="9">
        <v>0</v>
      </c>
      <c r="S531" s="9">
        <v>32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64</v>
      </c>
      <c r="Z531" s="9">
        <v>0</v>
      </c>
    </row>
    <row r="532" spans="1:26" x14ac:dyDescent="0.25">
      <c r="A532" s="9" t="s">
        <v>37</v>
      </c>
      <c r="B532" s="9" t="s">
        <v>32</v>
      </c>
      <c r="C532" s="9">
        <v>0</v>
      </c>
      <c r="D532" s="9">
        <v>0</v>
      </c>
      <c r="E532" s="9">
        <v>16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20</v>
      </c>
      <c r="X532" s="9">
        <v>0</v>
      </c>
      <c r="Y532" s="9">
        <v>40</v>
      </c>
      <c r="Z532" s="9">
        <v>24</v>
      </c>
    </row>
    <row r="533" spans="1:26" x14ac:dyDescent="0.25">
      <c r="A533" s="9" t="s">
        <v>37</v>
      </c>
      <c r="B533" s="9" t="s">
        <v>32</v>
      </c>
      <c r="C533" s="9">
        <v>0</v>
      </c>
      <c r="D533" s="9">
        <v>0</v>
      </c>
      <c r="E533" s="9">
        <v>12</v>
      </c>
      <c r="F533" s="9">
        <v>0</v>
      </c>
      <c r="G533" s="9">
        <v>0</v>
      </c>
      <c r="H533" s="9">
        <v>0</v>
      </c>
      <c r="I533" s="9">
        <v>0</v>
      </c>
      <c r="J533" s="9">
        <v>8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4</v>
      </c>
      <c r="X533" s="9">
        <v>0</v>
      </c>
      <c r="Y533" s="9">
        <v>40</v>
      </c>
      <c r="Z533" s="9">
        <v>36</v>
      </c>
    </row>
    <row r="534" spans="1:26" x14ac:dyDescent="0.25">
      <c r="A534" s="9" t="s">
        <v>37</v>
      </c>
      <c r="B534" s="9" t="s">
        <v>32</v>
      </c>
      <c r="C534" s="9">
        <v>0</v>
      </c>
      <c r="D534" s="9">
        <v>0</v>
      </c>
      <c r="E534" s="9">
        <v>8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4</v>
      </c>
      <c r="X534" s="9">
        <v>8</v>
      </c>
      <c r="Y534" s="9">
        <v>76</v>
      </c>
      <c r="Z534" s="9">
        <v>4</v>
      </c>
    </row>
    <row r="535" spans="1:26" x14ac:dyDescent="0.25">
      <c r="A535" s="9" t="s">
        <v>37</v>
      </c>
      <c r="B535" s="9" t="s">
        <v>32</v>
      </c>
      <c r="C535" s="9">
        <v>0</v>
      </c>
      <c r="D535" s="9">
        <v>0</v>
      </c>
      <c r="E535" s="9">
        <v>24</v>
      </c>
      <c r="F535" s="9">
        <v>0</v>
      </c>
      <c r="G535" s="9">
        <v>0</v>
      </c>
      <c r="H535" s="9">
        <v>0</v>
      </c>
      <c r="I535" s="9">
        <v>0</v>
      </c>
      <c r="J535" s="9">
        <v>4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28</v>
      </c>
      <c r="X535" s="9">
        <v>4</v>
      </c>
      <c r="Y535" s="9">
        <v>28</v>
      </c>
      <c r="Z535" s="9">
        <v>12</v>
      </c>
    </row>
    <row r="536" spans="1:26" x14ac:dyDescent="0.25">
      <c r="A536" s="9" t="s">
        <v>37</v>
      </c>
      <c r="B536" s="9" t="s">
        <v>32</v>
      </c>
      <c r="C536" s="9">
        <v>0</v>
      </c>
      <c r="D536" s="9">
        <v>0</v>
      </c>
      <c r="E536" s="9">
        <v>4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12</v>
      </c>
      <c r="X536" s="9">
        <v>0</v>
      </c>
      <c r="Y536" s="9">
        <v>80</v>
      </c>
      <c r="Z536" s="9">
        <v>4</v>
      </c>
    </row>
    <row r="537" spans="1:26" x14ac:dyDescent="0.25">
      <c r="A537" s="9" t="s">
        <v>37</v>
      </c>
      <c r="B537" s="9" t="s">
        <v>32</v>
      </c>
      <c r="C537" s="9">
        <v>0</v>
      </c>
      <c r="D537" s="9">
        <v>0</v>
      </c>
      <c r="E537" s="9">
        <v>8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4</v>
      </c>
      <c r="Y537" s="9">
        <v>84</v>
      </c>
      <c r="Z537" s="9">
        <v>4</v>
      </c>
    </row>
    <row r="538" spans="1:26" x14ac:dyDescent="0.25">
      <c r="A538" s="9" t="s">
        <v>37</v>
      </c>
      <c r="B538" s="9" t="s">
        <v>32</v>
      </c>
      <c r="C538" s="9">
        <v>8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12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4</v>
      </c>
      <c r="X538" s="9">
        <v>0</v>
      </c>
      <c r="Y538" s="9">
        <v>76</v>
      </c>
      <c r="Z538" s="9">
        <v>0</v>
      </c>
    </row>
    <row r="539" spans="1:26" x14ac:dyDescent="0.25">
      <c r="A539" s="9" t="s">
        <v>37</v>
      </c>
      <c r="B539" s="9" t="s">
        <v>32</v>
      </c>
      <c r="C539" s="9">
        <v>0</v>
      </c>
      <c r="D539" s="9">
        <v>0</v>
      </c>
      <c r="E539" s="9">
        <v>16</v>
      </c>
      <c r="F539" s="9">
        <v>0</v>
      </c>
      <c r="G539" s="9">
        <v>0</v>
      </c>
      <c r="H539" s="9">
        <v>0</v>
      </c>
      <c r="I539" s="9">
        <v>0</v>
      </c>
      <c r="J539" s="9">
        <v>8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12</v>
      </c>
      <c r="X539" s="9">
        <v>0</v>
      </c>
      <c r="Y539" s="9">
        <v>32</v>
      </c>
      <c r="Z539" s="9">
        <v>32</v>
      </c>
    </row>
    <row r="540" spans="1:26" x14ac:dyDescent="0.25">
      <c r="A540" s="9" t="s">
        <v>37</v>
      </c>
      <c r="B540" s="9" t="s">
        <v>32</v>
      </c>
      <c r="C540" s="9">
        <v>0</v>
      </c>
      <c r="D540" s="9">
        <v>0</v>
      </c>
      <c r="E540" s="9">
        <v>16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32</v>
      </c>
      <c r="X540" s="9">
        <v>4</v>
      </c>
      <c r="Y540" s="9">
        <v>20</v>
      </c>
      <c r="Z540" s="9">
        <v>28</v>
      </c>
    </row>
    <row r="541" spans="1:26" x14ac:dyDescent="0.25">
      <c r="A541" s="9" t="s">
        <v>37</v>
      </c>
      <c r="B541" s="9" t="s">
        <v>32</v>
      </c>
      <c r="C541" s="9">
        <v>0</v>
      </c>
      <c r="D541" s="9">
        <v>0</v>
      </c>
      <c r="E541" s="9">
        <v>16</v>
      </c>
      <c r="F541" s="9">
        <v>0</v>
      </c>
      <c r="G541" s="9">
        <v>0</v>
      </c>
      <c r="H541" s="9">
        <v>0</v>
      </c>
      <c r="I541" s="9">
        <v>0</v>
      </c>
      <c r="J541" s="9">
        <v>4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28</v>
      </c>
      <c r="X541" s="9">
        <v>4</v>
      </c>
      <c r="Y541" s="9">
        <v>32</v>
      </c>
      <c r="Z541" s="9">
        <v>16</v>
      </c>
    </row>
    <row r="542" spans="1:26" x14ac:dyDescent="0.25">
      <c r="A542" s="9" t="s">
        <v>38</v>
      </c>
      <c r="B542" s="9" t="s">
        <v>27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4</v>
      </c>
      <c r="R542" s="9">
        <v>0</v>
      </c>
      <c r="S542" s="9">
        <v>40</v>
      </c>
      <c r="T542" s="9">
        <v>0</v>
      </c>
      <c r="U542" s="9">
        <v>0</v>
      </c>
      <c r="V542" s="9">
        <v>0</v>
      </c>
      <c r="W542" s="9">
        <v>4</v>
      </c>
      <c r="X542" s="9">
        <v>0</v>
      </c>
      <c r="Y542" s="9">
        <v>32</v>
      </c>
      <c r="Z542" s="9">
        <v>20</v>
      </c>
    </row>
    <row r="543" spans="1:26" x14ac:dyDescent="0.25">
      <c r="A543" s="9" t="s">
        <v>38</v>
      </c>
      <c r="B543" s="9" t="s">
        <v>27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4</v>
      </c>
      <c r="Q543" s="9">
        <v>0</v>
      </c>
      <c r="R543" s="9">
        <v>0</v>
      </c>
      <c r="S543" s="9">
        <v>28</v>
      </c>
      <c r="T543" s="9">
        <v>4</v>
      </c>
      <c r="U543" s="9">
        <v>0</v>
      </c>
      <c r="V543" s="9">
        <v>0</v>
      </c>
      <c r="W543" s="9">
        <v>4</v>
      </c>
      <c r="X543" s="9">
        <v>0</v>
      </c>
      <c r="Y543" s="9">
        <v>52</v>
      </c>
      <c r="Z543" s="9">
        <v>8</v>
      </c>
    </row>
    <row r="544" spans="1:26" x14ac:dyDescent="0.25">
      <c r="A544" s="9" t="s">
        <v>38</v>
      </c>
      <c r="B544" s="9" t="s">
        <v>27</v>
      </c>
      <c r="C544" s="9">
        <v>0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80</v>
      </c>
      <c r="Z544" s="9">
        <v>20</v>
      </c>
    </row>
    <row r="545" spans="1:26" x14ac:dyDescent="0.25">
      <c r="A545" s="9" t="s">
        <v>38</v>
      </c>
      <c r="B545" s="9" t="s">
        <v>27</v>
      </c>
      <c r="C545" s="9">
        <v>0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8</v>
      </c>
      <c r="T545" s="9">
        <v>4</v>
      </c>
      <c r="U545" s="9">
        <v>0</v>
      </c>
      <c r="V545" s="9">
        <v>0</v>
      </c>
      <c r="W545" s="9">
        <v>0</v>
      </c>
      <c r="X545" s="9">
        <v>0</v>
      </c>
      <c r="Y545" s="9">
        <v>76</v>
      </c>
      <c r="Z545" s="9">
        <v>12</v>
      </c>
    </row>
    <row r="546" spans="1:26" x14ac:dyDescent="0.25">
      <c r="A546" s="9" t="s">
        <v>38</v>
      </c>
      <c r="B546" s="9" t="s">
        <v>27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8</v>
      </c>
      <c r="R546" s="9">
        <v>0</v>
      </c>
      <c r="S546" s="9">
        <v>8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76</v>
      </c>
      <c r="Z546" s="9">
        <v>8</v>
      </c>
    </row>
    <row r="547" spans="1:26" x14ac:dyDescent="0.25">
      <c r="A547" s="9" t="s">
        <v>38</v>
      </c>
      <c r="B547" s="9" t="s">
        <v>27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28</v>
      </c>
      <c r="Q547" s="9">
        <v>4</v>
      </c>
      <c r="R547" s="9">
        <v>0</v>
      </c>
      <c r="S547" s="9">
        <v>4</v>
      </c>
      <c r="T547" s="9">
        <v>0</v>
      </c>
      <c r="U547" s="9">
        <v>0</v>
      </c>
      <c r="V547" s="9">
        <v>0</v>
      </c>
      <c r="W547" s="9">
        <v>12</v>
      </c>
      <c r="X547" s="9">
        <v>0</v>
      </c>
      <c r="Y547" s="9">
        <v>52</v>
      </c>
      <c r="Z547" s="9">
        <v>0</v>
      </c>
    </row>
    <row r="548" spans="1:26" x14ac:dyDescent="0.25">
      <c r="A548" s="9" t="s">
        <v>38</v>
      </c>
      <c r="B548" s="9" t="s">
        <v>27</v>
      </c>
      <c r="C548" s="9">
        <v>0</v>
      </c>
      <c r="D548" s="9">
        <v>0</v>
      </c>
      <c r="E548" s="9">
        <v>0</v>
      </c>
      <c r="F548" s="9">
        <v>0</v>
      </c>
      <c r="G548" s="9">
        <v>4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8</v>
      </c>
      <c r="T548" s="9">
        <v>4</v>
      </c>
      <c r="U548" s="9">
        <v>0</v>
      </c>
      <c r="V548" s="9">
        <v>0</v>
      </c>
      <c r="W548" s="9">
        <v>0</v>
      </c>
      <c r="X548" s="9">
        <v>0</v>
      </c>
      <c r="Y548" s="9">
        <v>76</v>
      </c>
      <c r="Z548" s="9">
        <v>8</v>
      </c>
    </row>
    <row r="549" spans="1:26" x14ac:dyDescent="0.25">
      <c r="A549" s="9" t="s">
        <v>38</v>
      </c>
      <c r="B549" s="9" t="s">
        <v>27</v>
      </c>
      <c r="C549" s="9">
        <v>0</v>
      </c>
      <c r="D549" s="9">
        <v>0</v>
      </c>
      <c r="E549" s="9">
        <v>0</v>
      </c>
      <c r="F549" s="9">
        <v>4</v>
      </c>
      <c r="G549" s="9">
        <v>0</v>
      </c>
      <c r="H549" s="9">
        <v>0</v>
      </c>
      <c r="I549" s="9">
        <v>0</v>
      </c>
      <c r="J549" s="9">
        <v>4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4</v>
      </c>
      <c r="T549" s="9">
        <v>0</v>
      </c>
      <c r="U549" s="9">
        <v>0</v>
      </c>
      <c r="V549" s="9">
        <v>0</v>
      </c>
      <c r="W549" s="9">
        <v>4</v>
      </c>
      <c r="X549" s="9">
        <v>0</v>
      </c>
      <c r="Y549" s="9">
        <v>60</v>
      </c>
      <c r="Z549" s="9">
        <v>24</v>
      </c>
    </row>
    <row r="550" spans="1:26" x14ac:dyDescent="0.25">
      <c r="A550" s="9" t="s">
        <v>38</v>
      </c>
      <c r="B550" s="9" t="s">
        <v>27</v>
      </c>
      <c r="C550" s="9">
        <v>0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12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4</v>
      </c>
      <c r="X550" s="9">
        <v>0</v>
      </c>
      <c r="Y550" s="9">
        <v>64</v>
      </c>
      <c r="Z550" s="9">
        <v>20</v>
      </c>
    </row>
    <row r="551" spans="1:26" x14ac:dyDescent="0.25">
      <c r="A551" s="9" t="s">
        <v>38</v>
      </c>
      <c r="B551" s="9" t="s">
        <v>27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16</v>
      </c>
      <c r="T551" s="9">
        <v>16</v>
      </c>
      <c r="U551" s="9">
        <v>0</v>
      </c>
      <c r="V551" s="9">
        <v>0</v>
      </c>
      <c r="W551" s="9">
        <v>0</v>
      </c>
      <c r="X551" s="9">
        <v>0</v>
      </c>
      <c r="Y551" s="9">
        <v>40</v>
      </c>
      <c r="Z551" s="9">
        <v>28</v>
      </c>
    </row>
    <row r="552" spans="1:26" x14ac:dyDescent="0.25">
      <c r="A552" s="9" t="s">
        <v>38</v>
      </c>
      <c r="B552" s="9" t="s">
        <v>27</v>
      </c>
      <c r="C552" s="9">
        <v>0</v>
      </c>
      <c r="D552" s="9">
        <v>0</v>
      </c>
      <c r="E552" s="9">
        <v>0</v>
      </c>
      <c r="F552" s="9">
        <v>0</v>
      </c>
      <c r="G552" s="9">
        <v>4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12</v>
      </c>
      <c r="T552" s="9">
        <v>8</v>
      </c>
      <c r="U552" s="9">
        <v>0</v>
      </c>
      <c r="V552" s="9">
        <v>0</v>
      </c>
      <c r="W552" s="9">
        <v>4</v>
      </c>
      <c r="X552" s="9">
        <v>0</v>
      </c>
      <c r="Y552" s="9">
        <v>56</v>
      </c>
      <c r="Z552" s="9">
        <v>16</v>
      </c>
    </row>
    <row r="553" spans="1:26" x14ac:dyDescent="0.25">
      <c r="A553" s="9" t="s">
        <v>38</v>
      </c>
      <c r="B553" s="9" t="s">
        <v>27</v>
      </c>
      <c r="C553" s="9">
        <v>0</v>
      </c>
      <c r="D553" s="9">
        <v>0</v>
      </c>
      <c r="E553" s="9">
        <v>0</v>
      </c>
      <c r="F553" s="9">
        <v>0</v>
      </c>
      <c r="G553" s="9">
        <v>8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4</v>
      </c>
      <c r="R553" s="9">
        <v>0</v>
      </c>
      <c r="S553" s="9">
        <v>4</v>
      </c>
      <c r="T553" s="9">
        <v>12</v>
      </c>
      <c r="U553" s="9">
        <v>0</v>
      </c>
      <c r="V553" s="9">
        <v>0</v>
      </c>
      <c r="W553" s="9">
        <v>12</v>
      </c>
      <c r="X553" s="9">
        <v>0</v>
      </c>
      <c r="Y553" s="9">
        <v>40</v>
      </c>
      <c r="Z553" s="9">
        <v>20</v>
      </c>
    </row>
    <row r="554" spans="1:26" x14ac:dyDescent="0.25">
      <c r="A554" s="9" t="s">
        <v>38</v>
      </c>
      <c r="B554" s="9" t="s">
        <v>27</v>
      </c>
      <c r="C554" s="9">
        <v>0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4</v>
      </c>
      <c r="N554" s="9">
        <v>0</v>
      </c>
      <c r="O554" s="9">
        <v>4</v>
      </c>
      <c r="P554" s="9">
        <v>12</v>
      </c>
      <c r="Q554" s="9">
        <v>4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12</v>
      </c>
      <c r="X554" s="9">
        <v>0</v>
      </c>
      <c r="Y554" s="9">
        <v>56</v>
      </c>
      <c r="Z554" s="9">
        <v>8</v>
      </c>
    </row>
    <row r="555" spans="1:26" x14ac:dyDescent="0.25">
      <c r="A555" s="9" t="s">
        <v>38</v>
      </c>
      <c r="B555" s="9" t="s">
        <v>27</v>
      </c>
      <c r="C555" s="9">
        <v>0</v>
      </c>
      <c r="D555" s="9">
        <v>0</v>
      </c>
      <c r="E555" s="9">
        <v>12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4</v>
      </c>
      <c r="R555" s="9">
        <v>0</v>
      </c>
      <c r="S555" s="9">
        <v>4</v>
      </c>
      <c r="T555" s="9">
        <v>4</v>
      </c>
      <c r="U555" s="9">
        <v>0</v>
      </c>
      <c r="V555" s="9">
        <v>0</v>
      </c>
      <c r="W555" s="9">
        <v>8</v>
      </c>
      <c r="X555" s="9">
        <v>0</v>
      </c>
      <c r="Y555" s="9">
        <v>56</v>
      </c>
      <c r="Z555" s="9">
        <v>12</v>
      </c>
    </row>
    <row r="556" spans="1:26" x14ac:dyDescent="0.25">
      <c r="A556" s="9" t="s">
        <v>38</v>
      </c>
      <c r="B556" s="9" t="s">
        <v>27</v>
      </c>
      <c r="C556" s="9">
        <v>0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9">
        <v>4</v>
      </c>
      <c r="T556" s="9">
        <v>0</v>
      </c>
      <c r="U556" s="9">
        <v>0</v>
      </c>
      <c r="V556" s="9">
        <v>0</v>
      </c>
      <c r="W556" s="9">
        <v>4</v>
      </c>
      <c r="X556" s="9">
        <v>0</v>
      </c>
      <c r="Y556" s="9">
        <v>72</v>
      </c>
      <c r="Z556" s="9">
        <v>20</v>
      </c>
    </row>
    <row r="557" spans="1:26" x14ac:dyDescent="0.25">
      <c r="A557" s="9" t="s">
        <v>38</v>
      </c>
      <c r="B557" s="9" t="s">
        <v>28</v>
      </c>
      <c r="C557" s="9">
        <v>0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4</v>
      </c>
      <c r="O557" s="9">
        <v>0</v>
      </c>
      <c r="P557" s="9">
        <v>0</v>
      </c>
      <c r="Q557" s="9">
        <v>0</v>
      </c>
      <c r="R557" s="9">
        <v>0</v>
      </c>
      <c r="S557" s="9">
        <v>4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92</v>
      </c>
      <c r="Z557" s="9">
        <v>0</v>
      </c>
    </row>
    <row r="558" spans="1:26" x14ac:dyDescent="0.25">
      <c r="A558" s="9" t="s">
        <v>38</v>
      </c>
      <c r="B558" s="9" t="s">
        <v>28</v>
      </c>
      <c r="C558" s="9">
        <v>0</v>
      </c>
      <c r="D558" s="9">
        <v>0</v>
      </c>
      <c r="E558" s="9">
        <v>12</v>
      </c>
      <c r="F558" s="9">
        <v>0</v>
      </c>
      <c r="G558" s="9">
        <v>4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8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64</v>
      </c>
      <c r="Z558" s="9">
        <v>12</v>
      </c>
    </row>
    <row r="559" spans="1:26" x14ac:dyDescent="0.25">
      <c r="A559" s="9" t="s">
        <v>38</v>
      </c>
      <c r="B559" s="9" t="s">
        <v>28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100</v>
      </c>
      <c r="Z559" s="9">
        <v>0</v>
      </c>
    </row>
    <row r="560" spans="1:26" x14ac:dyDescent="0.25">
      <c r="A560" s="9" t="s">
        <v>38</v>
      </c>
      <c r="B560" s="9" t="s">
        <v>28</v>
      </c>
      <c r="C560" s="9">
        <v>0</v>
      </c>
      <c r="D560" s="9">
        <v>0</v>
      </c>
      <c r="E560" s="9">
        <v>0</v>
      </c>
      <c r="F560" s="9">
        <v>0</v>
      </c>
      <c r="G560" s="9">
        <v>8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8</v>
      </c>
      <c r="N560" s="9">
        <v>4</v>
      </c>
      <c r="O560" s="9">
        <v>0</v>
      </c>
      <c r="P560" s="9">
        <v>0</v>
      </c>
      <c r="Q560" s="9">
        <v>4</v>
      </c>
      <c r="R560" s="9">
        <v>0</v>
      </c>
      <c r="S560" s="9">
        <v>4</v>
      </c>
      <c r="T560" s="9">
        <v>12</v>
      </c>
      <c r="U560" s="9">
        <v>0</v>
      </c>
      <c r="V560" s="9">
        <v>0</v>
      </c>
      <c r="W560" s="9">
        <v>12</v>
      </c>
      <c r="X560" s="9">
        <v>4</v>
      </c>
      <c r="Y560" s="9">
        <v>24</v>
      </c>
      <c r="Z560" s="9">
        <v>20</v>
      </c>
    </row>
    <row r="561" spans="1:26" x14ac:dyDescent="0.25">
      <c r="A561" s="9" t="s">
        <v>38</v>
      </c>
      <c r="B561" s="9" t="s">
        <v>28</v>
      </c>
      <c r="C561" s="9">
        <v>0</v>
      </c>
      <c r="D561" s="9">
        <v>0</v>
      </c>
      <c r="E561" s="9">
        <v>0</v>
      </c>
      <c r="F561" s="9">
        <v>0</v>
      </c>
      <c r="G561" s="9">
        <v>4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4</v>
      </c>
      <c r="N561" s="9">
        <v>0</v>
      </c>
      <c r="O561" s="9">
        <v>0</v>
      </c>
      <c r="P561" s="9">
        <v>8</v>
      </c>
      <c r="Q561" s="9">
        <v>4</v>
      </c>
      <c r="R561" s="9">
        <v>0</v>
      </c>
      <c r="S561" s="9">
        <v>0</v>
      </c>
      <c r="T561" s="9">
        <v>16</v>
      </c>
      <c r="U561" s="9">
        <v>0</v>
      </c>
      <c r="V561" s="9">
        <v>0</v>
      </c>
      <c r="W561" s="9">
        <v>8</v>
      </c>
      <c r="X561" s="9">
        <v>0</v>
      </c>
      <c r="Y561" s="9">
        <v>48</v>
      </c>
      <c r="Z561" s="9">
        <v>8</v>
      </c>
    </row>
    <row r="562" spans="1:26" x14ac:dyDescent="0.25">
      <c r="A562" s="9" t="s">
        <v>38</v>
      </c>
      <c r="B562" s="9" t="s">
        <v>28</v>
      </c>
      <c r="C562" s="9">
        <v>0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4</v>
      </c>
      <c r="Q562" s="9">
        <v>4</v>
      </c>
      <c r="R562" s="9">
        <v>0</v>
      </c>
      <c r="S562" s="9">
        <v>8</v>
      </c>
      <c r="T562" s="9">
        <v>0</v>
      </c>
      <c r="U562" s="9">
        <v>0</v>
      </c>
      <c r="V562" s="9">
        <v>0</v>
      </c>
      <c r="W562" s="9">
        <v>4</v>
      </c>
      <c r="X562" s="9">
        <v>8</v>
      </c>
      <c r="Y562" s="9">
        <v>68</v>
      </c>
      <c r="Z562" s="9">
        <v>4</v>
      </c>
    </row>
    <row r="563" spans="1:26" x14ac:dyDescent="0.25">
      <c r="A563" s="9" t="s">
        <v>38</v>
      </c>
      <c r="B563" s="9" t="s">
        <v>28</v>
      </c>
      <c r="C563" s="9">
        <v>0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32</v>
      </c>
      <c r="N563" s="9">
        <v>0</v>
      </c>
      <c r="O563" s="9">
        <v>0</v>
      </c>
      <c r="P563" s="9">
        <v>12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4</v>
      </c>
      <c r="Y563" s="9">
        <v>48</v>
      </c>
      <c r="Z563" s="9">
        <v>4</v>
      </c>
    </row>
    <row r="564" spans="1:26" x14ac:dyDescent="0.25">
      <c r="A564" s="9" t="s">
        <v>38</v>
      </c>
      <c r="B564" s="9" t="s">
        <v>28</v>
      </c>
      <c r="C564" s="9">
        <v>0</v>
      </c>
      <c r="D564" s="9">
        <v>0</v>
      </c>
      <c r="E564" s="9">
        <v>0</v>
      </c>
      <c r="F564" s="9">
        <v>0</v>
      </c>
      <c r="G564" s="9">
        <v>8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4</v>
      </c>
      <c r="N564" s="9">
        <v>0</v>
      </c>
      <c r="O564" s="9">
        <v>0</v>
      </c>
      <c r="P564" s="9">
        <v>0</v>
      </c>
      <c r="Q564" s="9">
        <v>4</v>
      </c>
      <c r="R564" s="9">
        <v>0</v>
      </c>
      <c r="S564" s="9">
        <v>4</v>
      </c>
      <c r="T564" s="9">
        <v>0</v>
      </c>
      <c r="U564" s="9">
        <v>0</v>
      </c>
      <c r="V564" s="9">
        <v>0</v>
      </c>
      <c r="W564" s="9">
        <v>24</v>
      </c>
      <c r="X564" s="9">
        <v>12</v>
      </c>
      <c r="Y564" s="9">
        <v>40</v>
      </c>
      <c r="Z564" s="9">
        <v>4</v>
      </c>
    </row>
    <row r="565" spans="1:26" x14ac:dyDescent="0.25">
      <c r="A565" s="9" t="s">
        <v>38</v>
      </c>
      <c r="B565" s="9" t="s">
        <v>28</v>
      </c>
      <c r="C565" s="9">
        <v>0</v>
      </c>
      <c r="D565" s="9">
        <v>0</v>
      </c>
      <c r="E565" s="9">
        <v>8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4</v>
      </c>
      <c r="O565" s="9">
        <v>0</v>
      </c>
      <c r="P565" s="9">
        <v>0</v>
      </c>
      <c r="Q565" s="9">
        <v>4</v>
      </c>
      <c r="R565" s="9">
        <v>0</v>
      </c>
      <c r="S565" s="9">
        <v>4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72</v>
      </c>
      <c r="Z565" s="9">
        <v>8</v>
      </c>
    </row>
    <row r="566" spans="1:26" x14ac:dyDescent="0.25">
      <c r="A566" s="9" t="s">
        <v>38</v>
      </c>
      <c r="B566" s="9" t="s">
        <v>28</v>
      </c>
      <c r="C566" s="9">
        <v>0</v>
      </c>
      <c r="D566" s="9">
        <v>0</v>
      </c>
      <c r="E566" s="9">
        <v>0</v>
      </c>
      <c r="F566" s="9">
        <v>0</v>
      </c>
      <c r="G566" s="9">
        <v>8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4</v>
      </c>
      <c r="Q566" s="9">
        <v>0</v>
      </c>
      <c r="R566" s="9">
        <v>0</v>
      </c>
      <c r="S566" s="9">
        <v>0</v>
      </c>
      <c r="T566" s="9">
        <v>8</v>
      </c>
      <c r="U566" s="9">
        <v>0</v>
      </c>
      <c r="V566" s="9">
        <v>0</v>
      </c>
      <c r="W566" s="9">
        <v>12</v>
      </c>
      <c r="X566" s="9">
        <v>0</v>
      </c>
      <c r="Y566" s="9">
        <v>64</v>
      </c>
      <c r="Z566" s="9">
        <v>4</v>
      </c>
    </row>
    <row r="567" spans="1:26" x14ac:dyDescent="0.25">
      <c r="A567" s="9" t="s">
        <v>38</v>
      </c>
      <c r="B567" s="9" t="s">
        <v>28</v>
      </c>
      <c r="C567" s="9">
        <v>0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4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4</v>
      </c>
      <c r="X567" s="9">
        <v>0</v>
      </c>
      <c r="Y567" s="9">
        <v>92</v>
      </c>
      <c r="Z567" s="9">
        <v>0</v>
      </c>
    </row>
    <row r="568" spans="1:26" x14ac:dyDescent="0.25">
      <c r="A568" s="9" t="s">
        <v>38</v>
      </c>
      <c r="B568" s="9" t="s">
        <v>28</v>
      </c>
      <c r="C568" s="9">
        <v>0</v>
      </c>
      <c r="D568" s="9">
        <v>0</v>
      </c>
      <c r="E568" s="9">
        <v>0</v>
      </c>
      <c r="F568" s="9">
        <v>0</v>
      </c>
      <c r="G568" s="9">
        <v>4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4</v>
      </c>
      <c r="T568" s="9">
        <v>4</v>
      </c>
      <c r="U568" s="9">
        <v>0</v>
      </c>
      <c r="V568" s="9">
        <v>0</v>
      </c>
      <c r="W568" s="9">
        <v>0</v>
      </c>
      <c r="X568" s="9">
        <v>0</v>
      </c>
      <c r="Y568" s="9">
        <v>76</v>
      </c>
      <c r="Z568" s="9">
        <v>12</v>
      </c>
    </row>
    <row r="569" spans="1:26" x14ac:dyDescent="0.25">
      <c r="A569" s="9" t="s">
        <v>38</v>
      </c>
      <c r="B569" s="9" t="s">
        <v>28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9">
        <v>56</v>
      </c>
      <c r="T569" s="9">
        <v>8</v>
      </c>
      <c r="U569" s="9">
        <v>0</v>
      </c>
      <c r="V569" s="9">
        <v>0</v>
      </c>
      <c r="W569" s="9">
        <v>0</v>
      </c>
      <c r="X569" s="9">
        <v>0</v>
      </c>
      <c r="Y569" s="9">
        <v>32</v>
      </c>
      <c r="Z569" s="9">
        <v>4</v>
      </c>
    </row>
    <row r="570" spans="1:26" x14ac:dyDescent="0.25">
      <c r="A570" s="9" t="s">
        <v>38</v>
      </c>
      <c r="B570" s="9" t="s">
        <v>28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4</v>
      </c>
      <c r="T570" s="9">
        <v>4</v>
      </c>
      <c r="U570" s="9">
        <v>0</v>
      </c>
      <c r="V570" s="9">
        <v>0</v>
      </c>
      <c r="W570" s="9">
        <v>0</v>
      </c>
      <c r="X570" s="9">
        <v>0</v>
      </c>
      <c r="Y570" s="9">
        <v>84</v>
      </c>
      <c r="Z570" s="9">
        <v>8</v>
      </c>
    </row>
    <row r="571" spans="1:26" x14ac:dyDescent="0.25">
      <c r="A571" s="9" t="s">
        <v>38</v>
      </c>
      <c r="B571" s="9" t="s">
        <v>28</v>
      </c>
      <c r="C571" s="9">
        <v>0</v>
      </c>
      <c r="D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4</v>
      </c>
      <c r="R571" s="9">
        <v>0</v>
      </c>
      <c r="S571" s="9">
        <v>8</v>
      </c>
      <c r="T571" s="9">
        <v>0</v>
      </c>
      <c r="U571" s="9">
        <v>0</v>
      </c>
      <c r="V571" s="9">
        <v>0</v>
      </c>
      <c r="W571" s="9">
        <v>8</v>
      </c>
      <c r="X571" s="9">
        <v>4</v>
      </c>
      <c r="Y571" s="9">
        <v>56</v>
      </c>
      <c r="Z571" s="9">
        <v>20</v>
      </c>
    </row>
    <row r="572" spans="1:26" x14ac:dyDescent="0.25">
      <c r="A572" s="9" t="s">
        <v>38</v>
      </c>
      <c r="B572" s="9" t="s">
        <v>29</v>
      </c>
      <c r="C572" s="9">
        <v>0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4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4</v>
      </c>
      <c r="R572" s="9">
        <v>0</v>
      </c>
      <c r="S572" s="9">
        <v>24</v>
      </c>
      <c r="T572" s="9">
        <v>4</v>
      </c>
      <c r="U572" s="9">
        <v>0</v>
      </c>
      <c r="V572" s="9">
        <v>0</v>
      </c>
      <c r="W572" s="9">
        <v>4</v>
      </c>
      <c r="X572" s="9">
        <v>0</v>
      </c>
      <c r="Y572" s="9">
        <v>56</v>
      </c>
      <c r="Z572" s="9">
        <v>4</v>
      </c>
    </row>
    <row r="573" spans="1:26" x14ac:dyDescent="0.25">
      <c r="A573" s="9" t="s">
        <v>38</v>
      </c>
      <c r="B573" s="9" t="s">
        <v>29</v>
      </c>
      <c r="C573" s="9">
        <v>0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4</v>
      </c>
      <c r="R573" s="9">
        <v>0</v>
      </c>
      <c r="S573" s="9">
        <v>4</v>
      </c>
      <c r="T573" s="9">
        <v>0</v>
      </c>
      <c r="U573" s="9">
        <v>0</v>
      </c>
      <c r="V573" s="9">
        <v>0</v>
      </c>
      <c r="W573" s="9">
        <v>4</v>
      </c>
      <c r="X573" s="9">
        <v>8</v>
      </c>
      <c r="Y573" s="9">
        <v>68</v>
      </c>
      <c r="Z573" s="9">
        <v>12</v>
      </c>
    </row>
    <row r="574" spans="1:26" x14ac:dyDescent="0.25">
      <c r="A574" s="9" t="s">
        <v>38</v>
      </c>
      <c r="B574" s="9" t="s">
        <v>29</v>
      </c>
      <c r="C574" s="9">
        <v>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12</v>
      </c>
      <c r="R574" s="9">
        <v>0</v>
      </c>
      <c r="S574" s="9">
        <v>28</v>
      </c>
      <c r="T574" s="9">
        <v>0</v>
      </c>
      <c r="U574" s="9">
        <v>0</v>
      </c>
      <c r="V574" s="9">
        <v>0</v>
      </c>
      <c r="W574" s="9">
        <v>8</v>
      </c>
      <c r="X574" s="9">
        <v>0</v>
      </c>
      <c r="Y574" s="9">
        <v>40</v>
      </c>
      <c r="Z574" s="9">
        <v>12</v>
      </c>
    </row>
    <row r="575" spans="1:26" x14ac:dyDescent="0.25">
      <c r="A575" s="9" t="s">
        <v>38</v>
      </c>
      <c r="B575" s="9" t="s">
        <v>29</v>
      </c>
      <c r="C575" s="9">
        <v>0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20</v>
      </c>
      <c r="T575" s="9">
        <v>0</v>
      </c>
      <c r="U575" s="9">
        <v>0</v>
      </c>
      <c r="V575" s="9">
        <v>0</v>
      </c>
      <c r="W575" s="9">
        <v>0</v>
      </c>
      <c r="X575" s="9">
        <v>8</v>
      </c>
      <c r="Y575" s="9">
        <v>56</v>
      </c>
      <c r="Z575" s="9">
        <v>16</v>
      </c>
    </row>
    <row r="576" spans="1:26" x14ac:dyDescent="0.25">
      <c r="A576" s="9" t="s">
        <v>38</v>
      </c>
      <c r="B576" s="9" t="s">
        <v>29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8</v>
      </c>
      <c r="U576" s="9">
        <v>0</v>
      </c>
      <c r="V576" s="9">
        <v>0</v>
      </c>
      <c r="W576" s="9">
        <v>0</v>
      </c>
      <c r="X576" s="9">
        <v>0</v>
      </c>
      <c r="Y576" s="9">
        <v>84</v>
      </c>
      <c r="Z576" s="9">
        <v>8</v>
      </c>
    </row>
    <row r="577" spans="1:26" x14ac:dyDescent="0.25">
      <c r="A577" s="9" t="s">
        <v>38</v>
      </c>
      <c r="B577" s="9" t="s">
        <v>29</v>
      </c>
      <c r="C577" s="9">
        <v>0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4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92</v>
      </c>
      <c r="Z577" s="9">
        <v>4</v>
      </c>
    </row>
    <row r="578" spans="1:26" x14ac:dyDescent="0.25">
      <c r="A578" s="9" t="s">
        <v>38</v>
      </c>
      <c r="B578" s="9" t="s">
        <v>29</v>
      </c>
      <c r="C578" s="9">
        <v>0</v>
      </c>
      <c r="D578" s="9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4</v>
      </c>
      <c r="U578" s="9">
        <v>0</v>
      </c>
      <c r="V578" s="9">
        <v>0</v>
      </c>
      <c r="W578" s="9">
        <v>0</v>
      </c>
      <c r="X578" s="9">
        <v>0</v>
      </c>
      <c r="Y578" s="9">
        <v>96</v>
      </c>
      <c r="Z578" s="9">
        <v>0</v>
      </c>
    </row>
    <row r="579" spans="1:26" x14ac:dyDescent="0.25">
      <c r="A579" s="9" t="s">
        <v>38</v>
      </c>
      <c r="B579" s="9" t="s">
        <v>29</v>
      </c>
      <c r="C579" s="9">
        <v>0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4</v>
      </c>
      <c r="R579" s="9">
        <v>0</v>
      </c>
      <c r="S579" s="9">
        <v>4</v>
      </c>
      <c r="T579" s="9">
        <v>0</v>
      </c>
      <c r="U579" s="9">
        <v>0</v>
      </c>
      <c r="V579" s="9">
        <v>0</v>
      </c>
      <c r="W579" s="9">
        <v>0</v>
      </c>
      <c r="X579" s="9">
        <v>4</v>
      </c>
      <c r="Y579" s="9">
        <v>80</v>
      </c>
      <c r="Z579" s="9">
        <v>8</v>
      </c>
    </row>
    <row r="580" spans="1:26" x14ac:dyDescent="0.25">
      <c r="A580" s="9" t="s">
        <v>38</v>
      </c>
      <c r="B580" s="9" t="s">
        <v>29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100</v>
      </c>
      <c r="Z580" s="9">
        <v>0</v>
      </c>
    </row>
    <row r="581" spans="1:26" x14ac:dyDescent="0.25">
      <c r="A581" s="9" t="s">
        <v>38</v>
      </c>
      <c r="B581" s="9" t="s">
        <v>29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8</v>
      </c>
      <c r="U581" s="9">
        <v>0</v>
      </c>
      <c r="V581" s="9">
        <v>0</v>
      </c>
      <c r="W581" s="9">
        <v>0</v>
      </c>
      <c r="X581" s="9">
        <v>0</v>
      </c>
      <c r="Y581" s="9">
        <v>92</v>
      </c>
      <c r="Z581" s="9">
        <v>0</v>
      </c>
    </row>
    <row r="582" spans="1:26" x14ac:dyDescent="0.25">
      <c r="A582" s="9" t="s">
        <v>38</v>
      </c>
      <c r="B582" s="9" t="s">
        <v>29</v>
      </c>
      <c r="C582" s="9">
        <v>0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8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9">
        <v>0</v>
      </c>
      <c r="X582" s="9">
        <v>0</v>
      </c>
      <c r="Y582" s="9">
        <v>80</v>
      </c>
      <c r="Z582" s="9">
        <v>12</v>
      </c>
    </row>
    <row r="583" spans="1:26" x14ac:dyDescent="0.25">
      <c r="A583" s="9" t="s">
        <v>38</v>
      </c>
      <c r="B583" s="9" t="s">
        <v>29</v>
      </c>
      <c r="C583" s="9">
        <v>0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 s="9">
        <v>4</v>
      </c>
      <c r="T583" s="9">
        <v>0</v>
      </c>
      <c r="U583" s="9">
        <v>0</v>
      </c>
      <c r="V583" s="9">
        <v>0</v>
      </c>
      <c r="W583" s="9">
        <v>0</v>
      </c>
      <c r="X583" s="9">
        <v>8</v>
      </c>
      <c r="Y583" s="9">
        <v>80</v>
      </c>
      <c r="Z583" s="9">
        <v>8</v>
      </c>
    </row>
    <row r="584" spans="1:26" x14ac:dyDescent="0.25">
      <c r="A584" s="9" t="s">
        <v>38</v>
      </c>
      <c r="B584" s="9" t="s">
        <v>29</v>
      </c>
      <c r="C584" s="9">
        <v>0</v>
      </c>
      <c r="D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9">
        <v>4</v>
      </c>
      <c r="R584" s="9">
        <v>0</v>
      </c>
      <c r="S584" s="9">
        <v>0</v>
      </c>
      <c r="T584" s="9">
        <v>8</v>
      </c>
      <c r="U584" s="9">
        <v>0</v>
      </c>
      <c r="V584" s="9">
        <v>0</v>
      </c>
      <c r="W584" s="9">
        <v>4</v>
      </c>
      <c r="X584" s="9">
        <v>0</v>
      </c>
      <c r="Y584" s="9">
        <v>76</v>
      </c>
      <c r="Z584" s="9">
        <v>8</v>
      </c>
    </row>
    <row r="585" spans="1:26" x14ac:dyDescent="0.25">
      <c r="A585" s="9" t="s">
        <v>38</v>
      </c>
      <c r="B585" s="9" t="s">
        <v>29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4</v>
      </c>
      <c r="R585" s="9">
        <v>0</v>
      </c>
      <c r="S585" s="9">
        <v>0</v>
      </c>
      <c r="T585" s="9">
        <v>4</v>
      </c>
      <c r="U585" s="9">
        <v>0</v>
      </c>
      <c r="V585" s="9">
        <v>0</v>
      </c>
      <c r="W585" s="9">
        <v>4</v>
      </c>
      <c r="X585" s="9">
        <v>4</v>
      </c>
      <c r="Y585" s="9">
        <v>64</v>
      </c>
      <c r="Z585" s="9">
        <v>20</v>
      </c>
    </row>
    <row r="586" spans="1:26" x14ac:dyDescent="0.25">
      <c r="A586" s="9" t="s">
        <v>38</v>
      </c>
      <c r="B586" s="9" t="s">
        <v>29</v>
      </c>
      <c r="C586" s="9">
        <v>0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96</v>
      </c>
      <c r="Z586" s="9">
        <v>4</v>
      </c>
    </row>
    <row r="587" spans="1:26" x14ac:dyDescent="0.25">
      <c r="A587" s="9" t="s">
        <v>38</v>
      </c>
      <c r="B587" s="9" t="s">
        <v>30</v>
      </c>
      <c r="C587" s="9">
        <v>0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4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96</v>
      </c>
      <c r="Z587" s="9">
        <v>0</v>
      </c>
    </row>
    <row r="588" spans="1:26" x14ac:dyDescent="0.25">
      <c r="A588" s="9" t="s">
        <v>38</v>
      </c>
      <c r="B588" s="9" t="s">
        <v>30</v>
      </c>
      <c r="C588" s="9">
        <v>0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8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92</v>
      </c>
      <c r="Z588" s="9">
        <v>0</v>
      </c>
    </row>
    <row r="589" spans="1:26" x14ac:dyDescent="0.25">
      <c r="A589" s="9" t="s">
        <v>38</v>
      </c>
      <c r="B589" s="9" t="s">
        <v>30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>
        <v>4</v>
      </c>
      <c r="T589" s="9">
        <v>0</v>
      </c>
      <c r="U589" s="9">
        <v>0</v>
      </c>
      <c r="V589" s="9">
        <v>0</v>
      </c>
      <c r="W589" s="9">
        <v>0</v>
      </c>
      <c r="X589" s="9">
        <v>4</v>
      </c>
      <c r="Y589" s="9">
        <v>80</v>
      </c>
      <c r="Z589" s="9">
        <v>12</v>
      </c>
    </row>
    <row r="590" spans="1:26" x14ac:dyDescent="0.25">
      <c r="A590" s="9" t="s">
        <v>38</v>
      </c>
      <c r="B590" s="9" t="s">
        <v>30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4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96</v>
      </c>
      <c r="Z590" s="9">
        <v>0</v>
      </c>
    </row>
    <row r="591" spans="1:26" x14ac:dyDescent="0.25">
      <c r="A591" s="9" t="s">
        <v>38</v>
      </c>
      <c r="B591" s="9" t="s">
        <v>30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4</v>
      </c>
      <c r="T591" s="9">
        <v>4</v>
      </c>
      <c r="U591" s="9">
        <v>0</v>
      </c>
      <c r="V591" s="9">
        <v>0</v>
      </c>
      <c r="W591" s="9">
        <v>8</v>
      </c>
      <c r="X591" s="9">
        <v>0</v>
      </c>
      <c r="Y591" s="9">
        <v>80</v>
      </c>
      <c r="Z591" s="9">
        <v>4</v>
      </c>
    </row>
    <row r="592" spans="1:26" x14ac:dyDescent="0.25">
      <c r="A592" s="9" t="s">
        <v>38</v>
      </c>
      <c r="B592" s="9" t="s">
        <v>30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4</v>
      </c>
      <c r="R592" s="9">
        <v>0</v>
      </c>
      <c r="S592" s="9">
        <v>12</v>
      </c>
      <c r="T592" s="9">
        <v>4</v>
      </c>
      <c r="U592" s="9">
        <v>0</v>
      </c>
      <c r="V592" s="9">
        <v>0</v>
      </c>
      <c r="W592" s="9">
        <v>8</v>
      </c>
      <c r="X592" s="9">
        <v>0</v>
      </c>
      <c r="Y592" s="9">
        <v>52</v>
      </c>
      <c r="Z592" s="9">
        <v>20</v>
      </c>
    </row>
    <row r="593" spans="1:26" x14ac:dyDescent="0.25">
      <c r="A593" s="9" t="s">
        <v>38</v>
      </c>
      <c r="B593" s="9" t="s">
        <v>30</v>
      </c>
      <c r="C593" s="9">
        <v>0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4</v>
      </c>
      <c r="R593" s="9">
        <v>0</v>
      </c>
      <c r="S593" s="9">
        <v>16</v>
      </c>
      <c r="T593" s="9">
        <v>0</v>
      </c>
      <c r="U593" s="9">
        <v>0</v>
      </c>
      <c r="V593" s="9">
        <v>0</v>
      </c>
      <c r="W593" s="9">
        <v>4</v>
      </c>
      <c r="X593" s="9">
        <v>16</v>
      </c>
      <c r="Y593" s="9">
        <v>56</v>
      </c>
      <c r="Z593" s="9">
        <v>4</v>
      </c>
    </row>
    <row r="594" spans="1:26" x14ac:dyDescent="0.25">
      <c r="A594" s="9" t="s">
        <v>38</v>
      </c>
      <c r="B594" s="9" t="s">
        <v>30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9">
        <v>4</v>
      </c>
      <c r="T594" s="9">
        <v>4</v>
      </c>
      <c r="U594" s="9">
        <v>0</v>
      </c>
      <c r="V594" s="9">
        <v>0</v>
      </c>
      <c r="W594" s="9">
        <v>0</v>
      </c>
      <c r="X594" s="9">
        <v>4</v>
      </c>
      <c r="Y594" s="9">
        <v>84</v>
      </c>
      <c r="Z594" s="9">
        <v>4</v>
      </c>
    </row>
    <row r="595" spans="1:26" x14ac:dyDescent="0.25">
      <c r="A595" s="9" t="s">
        <v>38</v>
      </c>
      <c r="B595" s="9" t="s">
        <v>30</v>
      </c>
      <c r="C595" s="9">
        <v>0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9">
        <v>24</v>
      </c>
      <c r="T595" s="9">
        <v>0</v>
      </c>
      <c r="U595" s="9">
        <v>0</v>
      </c>
      <c r="V595" s="9">
        <v>0</v>
      </c>
      <c r="W595" s="9">
        <v>4</v>
      </c>
      <c r="X595" s="9">
        <v>0</v>
      </c>
      <c r="Y595" s="9">
        <v>68</v>
      </c>
      <c r="Z595" s="9">
        <v>4</v>
      </c>
    </row>
    <row r="596" spans="1:26" x14ac:dyDescent="0.25">
      <c r="A596" s="9" t="s">
        <v>38</v>
      </c>
      <c r="B596" s="9" t="s">
        <v>30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4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24</v>
      </c>
      <c r="T596" s="9">
        <v>0</v>
      </c>
      <c r="U596" s="9">
        <v>0</v>
      </c>
      <c r="V596" s="9">
        <v>0</v>
      </c>
      <c r="W596" s="9">
        <v>0</v>
      </c>
      <c r="X596" s="9">
        <v>4</v>
      </c>
      <c r="Y596" s="9">
        <v>68</v>
      </c>
      <c r="Z596" s="9">
        <v>0</v>
      </c>
    </row>
    <row r="597" spans="1:26" x14ac:dyDescent="0.25">
      <c r="A597" s="9" t="s">
        <v>38</v>
      </c>
      <c r="B597" s="9" t="s">
        <v>30</v>
      </c>
      <c r="C597" s="9">
        <v>0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8</v>
      </c>
      <c r="U597" s="9">
        <v>0</v>
      </c>
      <c r="V597" s="9">
        <v>0</v>
      </c>
      <c r="W597" s="9">
        <v>0</v>
      </c>
      <c r="X597" s="9">
        <v>0</v>
      </c>
      <c r="Y597" s="9">
        <v>80</v>
      </c>
      <c r="Z597" s="9">
        <v>12</v>
      </c>
    </row>
    <row r="598" spans="1:26" x14ac:dyDescent="0.25">
      <c r="A598" s="9" t="s">
        <v>38</v>
      </c>
      <c r="B598" s="9" t="s">
        <v>30</v>
      </c>
      <c r="C598" s="9">
        <v>0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4</v>
      </c>
      <c r="R598" s="9">
        <v>0</v>
      </c>
      <c r="S598" s="9">
        <v>0</v>
      </c>
      <c r="T598" s="9">
        <v>4</v>
      </c>
      <c r="U598" s="9">
        <v>0</v>
      </c>
      <c r="V598" s="9">
        <v>0</v>
      </c>
      <c r="W598" s="9">
        <v>8</v>
      </c>
      <c r="X598" s="9">
        <v>0</v>
      </c>
      <c r="Y598" s="9">
        <v>76</v>
      </c>
      <c r="Z598" s="9">
        <v>8</v>
      </c>
    </row>
    <row r="599" spans="1:26" x14ac:dyDescent="0.25">
      <c r="A599" s="9" t="s">
        <v>38</v>
      </c>
      <c r="B599" s="9" t="s">
        <v>30</v>
      </c>
      <c r="C599" s="9">
        <v>0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4</v>
      </c>
      <c r="R599" s="9">
        <v>0</v>
      </c>
      <c r="S599" s="9">
        <v>4</v>
      </c>
      <c r="T599" s="9">
        <v>0</v>
      </c>
      <c r="U599" s="9">
        <v>0</v>
      </c>
      <c r="V599" s="9">
        <v>0</v>
      </c>
      <c r="W599" s="9">
        <v>0</v>
      </c>
      <c r="X599" s="9">
        <v>4</v>
      </c>
      <c r="Y599" s="9">
        <v>84</v>
      </c>
      <c r="Z599" s="9">
        <v>4</v>
      </c>
    </row>
    <row r="600" spans="1:26" x14ac:dyDescent="0.25">
      <c r="A600" s="9" t="s">
        <v>38</v>
      </c>
      <c r="B600" s="9" t="s">
        <v>30</v>
      </c>
      <c r="C600" s="9">
        <v>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4</v>
      </c>
      <c r="R600" s="9">
        <v>0</v>
      </c>
      <c r="S600" s="9">
        <v>4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88</v>
      </c>
      <c r="Z600" s="9">
        <v>4</v>
      </c>
    </row>
    <row r="601" spans="1:26" x14ac:dyDescent="0.25">
      <c r="A601" s="9" t="s">
        <v>38</v>
      </c>
      <c r="B601" s="9" t="s">
        <v>30</v>
      </c>
      <c r="C601" s="9">
        <v>0</v>
      </c>
      <c r="D601" s="9">
        <v>0</v>
      </c>
      <c r="E601" s="9">
        <v>4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12</v>
      </c>
      <c r="T601" s="9">
        <v>0</v>
      </c>
      <c r="U601" s="9">
        <v>0</v>
      </c>
      <c r="V601" s="9">
        <v>0</v>
      </c>
      <c r="W601" s="9">
        <v>0</v>
      </c>
      <c r="X601" s="9">
        <v>4</v>
      </c>
      <c r="Y601" s="9">
        <v>80</v>
      </c>
      <c r="Z601" s="9">
        <v>0</v>
      </c>
    </row>
    <row r="602" spans="1:26" x14ac:dyDescent="0.25">
      <c r="A602" s="9" t="s">
        <v>38</v>
      </c>
      <c r="B602" s="9" t="s">
        <v>31</v>
      </c>
      <c r="C602" s="9">
        <v>0</v>
      </c>
      <c r="D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8</v>
      </c>
      <c r="X602" s="9">
        <v>0</v>
      </c>
      <c r="Y602" s="9">
        <v>76</v>
      </c>
      <c r="Z602" s="9">
        <v>16</v>
      </c>
    </row>
    <row r="603" spans="1:26" x14ac:dyDescent="0.25">
      <c r="A603" s="9" t="s">
        <v>38</v>
      </c>
      <c r="B603" s="9" t="s">
        <v>31</v>
      </c>
      <c r="C603" s="9">
        <v>0</v>
      </c>
      <c r="D603" s="9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4</v>
      </c>
      <c r="X603" s="9">
        <v>4</v>
      </c>
      <c r="Y603" s="9">
        <v>88</v>
      </c>
      <c r="Z603" s="9">
        <v>4</v>
      </c>
    </row>
    <row r="604" spans="1:26" x14ac:dyDescent="0.25">
      <c r="A604" s="9" t="s">
        <v>38</v>
      </c>
      <c r="B604" s="9" t="s">
        <v>31</v>
      </c>
      <c r="C604" s="9">
        <v>0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64</v>
      </c>
      <c r="Z604" s="9">
        <v>36</v>
      </c>
    </row>
    <row r="605" spans="1:26" x14ac:dyDescent="0.25">
      <c r="A605" s="9" t="s">
        <v>38</v>
      </c>
      <c r="B605" s="9" t="s">
        <v>31</v>
      </c>
      <c r="C605" s="9">
        <v>0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4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92</v>
      </c>
      <c r="Z605" s="9">
        <v>4</v>
      </c>
    </row>
    <row r="606" spans="1:26" x14ac:dyDescent="0.25">
      <c r="A606" s="9" t="s">
        <v>38</v>
      </c>
      <c r="B606" s="9" t="s">
        <v>31</v>
      </c>
      <c r="C606" s="9">
        <v>0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4</v>
      </c>
      <c r="R606" s="9">
        <v>0</v>
      </c>
      <c r="S606" s="9">
        <v>0</v>
      </c>
      <c r="T606" s="9">
        <v>8</v>
      </c>
      <c r="U606" s="9">
        <v>0</v>
      </c>
      <c r="V606" s="9">
        <v>0</v>
      </c>
      <c r="W606" s="9">
        <v>0</v>
      </c>
      <c r="X606" s="9">
        <v>0</v>
      </c>
      <c r="Y606" s="9">
        <v>80</v>
      </c>
      <c r="Z606" s="9">
        <v>8</v>
      </c>
    </row>
    <row r="607" spans="1:26" x14ac:dyDescent="0.25">
      <c r="A607" s="9" t="s">
        <v>38</v>
      </c>
      <c r="B607" s="9" t="s">
        <v>31</v>
      </c>
      <c r="C607" s="9">
        <v>0</v>
      </c>
      <c r="D607" s="9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4</v>
      </c>
      <c r="T607" s="9">
        <v>0</v>
      </c>
      <c r="U607" s="9">
        <v>0</v>
      </c>
      <c r="V607" s="9">
        <v>0</v>
      </c>
      <c r="W607" s="9">
        <v>0</v>
      </c>
      <c r="X607" s="9">
        <v>0</v>
      </c>
      <c r="Y607" s="9">
        <v>96</v>
      </c>
      <c r="Z607" s="9">
        <v>0</v>
      </c>
    </row>
    <row r="608" spans="1:26" x14ac:dyDescent="0.25">
      <c r="A608" s="9" t="s">
        <v>38</v>
      </c>
      <c r="B608" s="9" t="s">
        <v>31</v>
      </c>
      <c r="C608" s="9">
        <v>0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24</v>
      </c>
      <c r="N608" s="9">
        <v>4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9">
        <v>0</v>
      </c>
      <c r="X608" s="9">
        <v>0</v>
      </c>
      <c r="Y608" s="9">
        <v>68</v>
      </c>
      <c r="Z608" s="9">
        <v>4</v>
      </c>
    </row>
    <row r="609" spans="1:26" x14ac:dyDescent="0.25">
      <c r="A609" s="9" t="s">
        <v>38</v>
      </c>
      <c r="B609" s="9" t="s">
        <v>31</v>
      </c>
      <c r="C609" s="9">
        <v>0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4</v>
      </c>
      <c r="N609" s="9">
        <v>0</v>
      </c>
      <c r="O609" s="9">
        <v>0</v>
      </c>
      <c r="P609" s="9">
        <v>0</v>
      </c>
      <c r="Q609" s="9">
        <v>4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84</v>
      </c>
      <c r="Z609" s="9">
        <v>8</v>
      </c>
    </row>
    <row r="610" spans="1:26" x14ac:dyDescent="0.25">
      <c r="A610" s="9" t="s">
        <v>38</v>
      </c>
      <c r="B610" s="9" t="s">
        <v>31</v>
      </c>
      <c r="C610" s="9">
        <v>0</v>
      </c>
      <c r="D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16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68</v>
      </c>
      <c r="Z610" s="9">
        <v>16</v>
      </c>
    </row>
    <row r="611" spans="1:26" x14ac:dyDescent="0.25">
      <c r="A611" s="9" t="s">
        <v>38</v>
      </c>
      <c r="B611" s="9" t="s">
        <v>31</v>
      </c>
      <c r="C611" s="9">
        <v>0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4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84</v>
      </c>
      <c r="Z611" s="9">
        <v>12</v>
      </c>
    </row>
    <row r="612" spans="1:26" x14ac:dyDescent="0.25">
      <c r="A612" s="9" t="s">
        <v>38</v>
      </c>
      <c r="B612" s="9" t="s">
        <v>31</v>
      </c>
      <c r="C612" s="9">
        <v>0</v>
      </c>
      <c r="D612" s="9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4</v>
      </c>
      <c r="X612" s="9">
        <v>0</v>
      </c>
      <c r="Y612" s="9">
        <v>88</v>
      </c>
      <c r="Z612" s="9">
        <v>8</v>
      </c>
    </row>
    <row r="613" spans="1:26" x14ac:dyDescent="0.25">
      <c r="A613" s="9" t="s">
        <v>38</v>
      </c>
      <c r="B613" s="9" t="s">
        <v>31</v>
      </c>
      <c r="C613" s="9">
        <v>0</v>
      </c>
      <c r="D613" s="9">
        <v>0</v>
      </c>
      <c r="E613" s="9">
        <v>0</v>
      </c>
      <c r="F613" s="9">
        <v>0</v>
      </c>
      <c r="G613" s="9">
        <v>4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>
        <v>4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80</v>
      </c>
      <c r="Z613" s="9">
        <v>12</v>
      </c>
    </row>
    <row r="614" spans="1:26" x14ac:dyDescent="0.25">
      <c r="A614" s="9" t="s">
        <v>38</v>
      </c>
      <c r="B614" s="9" t="s">
        <v>31</v>
      </c>
      <c r="C614" s="9">
        <v>0</v>
      </c>
      <c r="D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4</v>
      </c>
      <c r="T614" s="9">
        <v>0</v>
      </c>
      <c r="U614" s="9">
        <v>0</v>
      </c>
      <c r="V614" s="9">
        <v>0</v>
      </c>
      <c r="W614" s="9">
        <v>8</v>
      </c>
      <c r="X614" s="9">
        <v>4</v>
      </c>
      <c r="Y614" s="9">
        <v>68</v>
      </c>
      <c r="Z614" s="9">
        <v>16</v>
      </c>
    </row>
    <row r="615" spans="1:26" x14ac:dyDescent="0.25">
      <c r="A615" s="9" t="s">
        <v>38</v>
      </c>
      <c r="B615" s="9" t="s">
        <v>31</v>
      </c>
      <c r="C615" s="9">
        <v>0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9">
        <v>4</v>
      </c>
      <c r="U615" s="9">
        <v>0</v>
      </c>
      <c r="V615" s="9">
        <v>0</v>
      </c>
      <c r="W615" s="9">
        <v>0</v>
      </c>
      <c r="X615" s="9">
        <v>0</v>
      </c>
      <c r="Y615" s="9">
        <v>96</v>
      </c>
      <c r="Z615" s="9">
        <v>0</v>
      </c>
    </row>
    <row r="616" spans="1:26" x14ac:dyDescent="0.25">
      <c r="A616" s="9" t="s">
        <v>38</v>
      </c>
      <c r="B616" s="9" t="s">
        <v>31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4</v>
      </c>
      <c r="X616" s="9">
        <v>0</v>
      </c>
      <c r="Y616" s="9">
        <v>88</v>
      </c>
      <c r="Z616" s="9">
        <v>8</v>
      </c>
    </row>
    <row r="617" spans="1:26" x14ac:dyDescent="0.25">
      <c r="A617" s="9" t="s">
        <v>38</v>
      </c>
      <c r="B617" s="9" t="s">
        <v>32</v>
      </c>
      <c r="C617" s="9">
        <v>0</v>
      </c>
      <c r="D617" s="9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8</v>
      </c>
      <c r="R617" s="9">
        <v>0</v>
      </c>
      <c r="S617" s="9">
        <v>0</v>
      </c>
      <c r="T617" s="9">
        <v>12</v>
      </c>
      <c r="U617" s="9">
        <v>0</v>
      </c>
      <c r="V617" s="9">
        <v>0</v>
      </c>
      <c r="W617" s="9">
        <v>0</v>
      </c>
      <c r="X617" s="9">
        <v>0</v>
      </c>
      <c r="Y617" s="9">
        <v>76</v>
      </c>
      <c r="Z617" s="9">
        <v>4</v>
      </c>
    </row>
    <row r="618" spans="1:26" x14ac:dyDescent="0.25">
      <c r="A618" s="9" t="s">
        <v>38</v>
      </c>
      <c r="B618" s="9" t="s">
        <v>32</v>
      </c>
      <c r="C618" s="9">
        <v>0</v>
      </c>
      <c r="D618" s="9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8</v>
      </c>
      <c r="R618" s="9">
        <v>0</v>
      </c>
      <c r="S618" s="9">
        <v>0</v>
      </c>
      <c r="T618" s="9">
        <v>4</v>
      </c>
      <c r="U618" s="9">
        <v>0</v>
      </c>
      <c r="V618" s="9">
        <v>0</v>
      </c>
      <c r="W618" s="9">
        <v>0</v>
      </c>
      <c r="X618" s="9">
        <v>0</v>
      </c>
      <c r="Y618" s="9">
        <v>88</v>
      </c>
      <c r="Z618" s="9">
        <v>0</v>
      </c>
    </row>
    <row r="619" spans="1:26" x14ac:dyDescent="0.25">
      <c r="A619" s="9" t="s">
        <v>38</v>
      </c>
      <c r="B619" s="9" t="s">
        <v>32</v>
      </c>
      <c r="C619" s="9">
        <v>0</v>
      </c>
      <c r="D619" s="9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100</v>
      </c>
      <c r="Z619" s="9">
        <v>0</v>
      </c>
    </row>
    <row r="620" spans="1:26" x14ac:dyDescent="0.25">
      <c r="A620" s="9" t="s">
        <v>38</v>
      </c>
      <c r="B620" s="9" t="s">
        <v>32</v>
      </c>
      <c r="C620" s="9">
        <v>0</v>
      </c>
      <c r="D620" s="9">
        <v>0</v>
      </c>
      <c r="E620" s="9">
        <v>0</v>
      </c>
      <c r="F620" s="9">
        <v>0</v>
      </c>
      <c r="G620" s="9">
        <v>4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16</v>
      </c>
      <c r="R620" s="9">
        <v>0</v>
      </c>
      <c r="S620" s="9">
        <v>0</v>
      </c>
      <c r="T620" s="9">
        <v>4</v>
      </c>
      <c r="U620" s="9">
        <v>0</v>
      </c>
      <c r="V620" s="9">
        <v>0</v>
      </c>
      <c r="W620" s="9">
        <v>0</v>
      </c>
      <c r="X620" s="9">
        <v>0</v>
      </c>
      <c r="Y620" s="9">
        <v>68</v>
      </c>
      <c r="Z620" s="9">
        <v>8</v>
      </c>
    </row>
    <row r="621" spans="1:26" x14ac:dyDescent="0.25">
      <c r="A621" s="9" t="s">
        <v>38</v>
      </c>
      <c r="B621" s="9" t="s">
        <v>32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4</v>
      </c>
      <c r="T621" s="9">
        <v>0</v>
      </c>
      <c r="U621" s="9">
        <v>0</v>
      </c>
      <c r="V621" s="9">
        <v>0</v>
      </c>
      <c r="W621" s="9">
        <v>4</v>
      </c>
      <c r="X621" s="9">
        <v>0</v>
      </c>
      <c r="Y621" s="9">
        <v>92</v>
      </c>
      <c r="Z621" s="9">
        <v>0</v>
      </c>
    </row>
    <row r="622" spans="1:26" x14ac:dyDescent="0.25">
      <c r="A622" s="9" t="s">
        <v>38</v>
      </c>
      <c r="B622" s="9" t="s">
        <v>32</v>
      </c>
      <c r="C622" s="9">
        <v>0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92</v>
      </c>
      <c r="Z622" s="9">
        <v>8</v>
      </c>
    </row>
    <row r="623" spans="1:26" x14ac:dyDescent="0.25">
      <c r="A623" s="9" t="s">
        <v>38</v>
      </c>
      <c r="B623" s="9" t="s">
        <v>32</v>
      </c>
      <c r="C623" s="9">
        <v>0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100</v>
      </c>
      <c r="Z623" s="9">
        <v>0</v>
      </c>
    </row>
    <row r="624" spans="1:26" x14ac:dyDescent="0.25">
      <c r="A624" s="9" t="s">
        <v>38</v>
      </c>
      <c r="B624" s="9" t="s">
        <v>32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100</v>
      </c>
      <c r="Z624" s="9">
        <v>0</v>
      </c>
    </row>
    <row r="625" spans="1:26" x14ac:dyDescent="0.25">
      <c r="A625" s="9" t="s">
        <v>38</v>
      </c>
      <c r="B625" s="9" t="s">
        <v>32</v>
      </c>
      <c r="C625" s="9">
        <v>0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28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68</v>
      </c>
      <c r="Z625" s="9">
        <v>4</v>
      </c>
    </row>
    <row r="626" spans="1:26" x14ac:dyDescent="0.25">
      <c r="A626" s="9" t="s">
        <v>38</v>
      </c>
      <c r="B626" s="9" t="s">
        <v>32</v>
      </c>
      <c r="C626" s="9">
        <v>0</v>
      </c>
      <c r="D626" s="9">
        <v>0</v>
      </c>
      <c r="E626" s="9">
        <v>0</v>
      </c>
      <c r="F626" s="9">
        <v>4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8</v>
      </c>
      <c r="N626" s="9">
        <v>0</v>
      </c>
      <c r="O626" s="9">
        <v>0</v>
      </c>
      <c r="P626" s="9">
        <v>0</v>
      </c>
      <c r="Q626" s="9">
        <v>4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0</v>
      </c>
      <c r="Y626" s="9">
        <v>76</v>
      </c>
      <c r="Z626" s="9">
        <v>8</v>
      </c>
    </row>
    <row r="627" spans="1:26" x14ac:dyDescent="0.25">
      <c r="A627" s="9" t="s">
        <v>38</v>
      </c>
      <c r="B627" s="9" t="s">
        <v>32</v>
      </c>
      <c r="C627" s="9">
        <v>0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4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8</v>
      </c>
      <c r="X627" s="9">
        <v>0</v>
      </c>
      <c r="Y627" s="9">
        <v>84</v>
      </c>
      <c r="Z627" s="9">
        <v>4</v>
      </c>
    </row>
    <row r="628" spans="1:26" x14ac:dyDescent="0.25">
      <c r="A628" s="9" t="s">
        <v>38</v>
      </c>
      <c r="B628" s="9" t="s">
        <v>32</v>
      </c>
      <c r="C628" s="9">
        <v>0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12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72</v>
      </c>
      <c r="Z628" s="9">
        <v>16</v>
      </c>
    </row>
    <row r="629" spans="1:26" x14ac:dyDescent="0.25">
      <c r="A629" s="9" t="s">
        <v>38</v>
      </c>
      <c r="B629" s="9" t="s">
        <v>32</v>
      </c>
      <c r="C629" s="9">
        <v>0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100</v>
      </c>
      <c r="Z629" s="9">
        <v>0</v>
      </c>
    </row>
    <row r="630" spans="1:26" x14ac:dyDescent="0.25">
      <c r="A630" s="9" t="s">
        <v>38</v>
      </c>
      <c r="B630" s="9" t="s">
        <v>32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8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92</v>
      </c>
      <c r="Z630" s="9">
        <v>0</v>
      </c>
    </row>
    <row r="631" spans="1:26" x14ac:dyDescent="0.25">
      <c r="A631" s="9" t="s">
        <v>38</v>
      </c>
      <c r="B631" s="9" t="s">
        <v>32</v>
      </c>
      <c r="C631" s="9">
        <v>0</v>
      </c>
      <c r="D631" s="9">
        <v>0</v>
      </c>
      <c r="E631" s="9">
        <v>24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8</v>
      </c>
      <c r="T631" s="9">
        <v>0</v>
      </c>
      <c r="U631" s="9">
        <v>0</v>
      </c>
      <c r="V631" s="9">
        <v>0</v>
      </c>
      <c r="W631" s="9">
        <v>0</v>
      </c>
      <c r="X631" s="9">
        <v>8</v>
      </c>
      <c r="Y631" s="9">
        <v>44</v>
      </c>
      <c r="Z631" s="9">
        <v>16</v>
      </c>
    </row>
    <row r="632" spans="1:26" x14ac:dyDescent="0.25">
      <c r="A632" s="9" t="s">
        <v>39</v>
      </c>
      <c r="B632" s="9" t="s">
        <v>27</v>
      </c>
      <c r="C632" s="9">
        <v>0</v>
      </c>
      <c r="D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8</v>
      </c>
      <c r="X632" s="9">
        <v>0</v>
      </c>
      <c r="Y632" s="9">
        <v>88</v>
      </c>
      <c r="Z632" s="9">
        <v>4</v>
      </c>
    </row>
    <row r="633" spans="1:26" x14ac:dyDescent="0.25">
      <c r="A633" s="9" t="s">
        <v>39</v>
      </c>
      <c r="B633" s="9" t="s">
        <v>27</v>
      </c>
      <c r="C633" s="9">
        <v>0</v>
      </c>
      <c r="D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8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84</v>
      </c>
      <c r="Z633" s="9">
        <v>8</v>
      </c>
    </row>
    <row r="634" spans="1:26" x14ac:dyDescent="0.25">
      <c r="A634" s="9" t="s">
        <v>39</v>
      </c>
      <c r="B634" s="9" t="s">
        <v>27</v>
      </c>
      <c r="C634" s="9">
        <v>0</v>
      </c>
      <c r="D634" s="9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9">
        <v>16</v>
      </c>
      <c r="O634" s="9">
        <v>0</v>
      </c>
      <c r="P634" s="9">
        <v>24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4</v>
      </c>
      <c r="X634" s="9">
        <v>0</v>
      </c>
      <c r="Y634" s="9">
        <v>52</v>
      </c>
      <c r="Z634" s="9">
        <v>4</v>
      </c>
    </row>
    <row r="635" spans="1:26" x14ac:dyDescent="0.25">
      <c r="A635" s="9" t="s">
        <v>39</v>
      </c>
      <c r="B635" s="9" t="s">
        <v>27</v>
      </c>
      <c r="C635" s="9">
        <v>0</v>
      </c>
      <c r="D635" s="9">
        <v>0</v>
      </c>
      <c r="E635" s="9">
        <v>4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4</v>
      </c>
      <c r="O635" s="9">
        <v>0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4</v>
      </c>
      <c r="X635" s="9">
        <v>0</v>
      </c>
      <c r="Y635" s="9">
        <v>84</v>
      </c>
      <c r="Z635" s="9">
        <v>4</v>
      </c>
    </row>
    <row r="636" spans="1:26" x14ac:dyDescent="0.25">
      <c r="A636" s="9" t="s">
        <v>39</v>
      </c>
      <c r="B636" s="9" t="s">
        <v>27</v>
      </c>
      <c r="C636" s="9">
        <v>0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52</v>
      </c>
      <c r="O636" s="9">
        <v>0</v>
      </c>
      <c r="P636" s="9">
        <v>12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36</v>
      </c>
      <c r="Z636" s="9">
        <v>0</v>
      </c>
    </row>
    <row r="637" spans="1:26" x14ac:dyDescent="0.25">
      <c r="A637" s="9" t="s">
        <v>39</v>
      </c>
      <c r="B637" s="9" t="s">
        <v>27</v>
      </c>
      <c r="C637" s="9">
        <v>0</v>
      </c>
      <c r="D637" s="9">
        <v>0</v>
      </c>
      <c r="E637" s="9">
        <v>0</v>
      </c>
      <c r="F637" s="9">
        <v>20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4</v>
      </c>
      <c r="R637" s="9">
        <v>0</v>
      </c>
      <c r="S637" s="9">
        <v>0</v>
      </c>
      <c r="T637" s="9">
        <v>12</v>
      </c>
      <c r="U637" s="9">
        <v>0</v>
      </c>
      <c r="V637" s="9">
        <v>0</v>
      </c>
      <c r="W637" s="9">
        <v>8</v>
      </c>
      <c r="X637" s="9">
        <v>4</v>
      </c>
      <c r="Y637" s="9">
        <v>36</v>
      </c>
      <c r="Z637" s="9">
        <v>16</v>
      </c>
    </row>
    <row r="638" spans="1:26" x14ac:dyDescent="0.25">
      <c r="A638" s="9" t="s">
        <v>39</v>
      </c>
      <c r="B638" s="9" t="s">
        <v>27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96</v>
      </c>
      <c r="Z638" s="9">
        <v>4</v>
      </c>
    </row>
    <row r="639" spans="1:26" x14ac:dyDescent="0.25">
      <c r="A639" s="9" t="s">
        <v>39</v>
      </c>
      <c r="B639" s="9" t="s">
        <v>27</v>
      </c>
      <c r="C639" s="9">
        <v>0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4</v>
      </c>
      <c r="O639" s="9">
        <v>0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9">
        <v>8</v>
      </c>
      <c r="X639" s="9">
        <v>0</v>
      </c>
      <c r="Y639" s="9">
        <v>84</v>
      </c>
      <c r="Z639" s="9">
        <v>4</v>
      </c>
    </row>
    <row r="640" spans="1:26" x14ac:dyDescent="0.25">
      <c r="A640" s="9" t="s">
        <v>39</v>
      </c>
      <c r="B640" s="9" t="s">
        <v>27</v>
      </c>
      <c r="C640" s="9">
        <v>0</v>
      </c>
      <c r="D640" s="9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4</v>
      </c>
      <c r="O640" s="9">
        <v>0</v>
      </c>
      <c r="P640" s="9">
        <v>0</v>
      </c>
      <c r="Q640" s="9">
        <v>4</v>
      </c>
      <c r="R640" s="9">
        <v>0</v>
      </c>
      <c r="S640" s="9">
        <v>0</v>
      </c>
      <c r="T640" s="9">
        <v>4</v>
      </c>
      <c r="U640" s="9">
        <v>0</v>
      </c>
      <c r="V640" s="9">
        <v>0</v>
      </c>
      <c r="W640" s="9">
        <v>0</v>
      </c>
      <c r="X640" s="9">
        <v>0</v>
      </c>
      <c r="Y640" s="9">
        <v>80</v>
      </c>
      <c r="Z640" s="9">
        <v>8</v>
      </c>
    </row>
    <row r="641" spans="1:26" x14ac:dyDescent="0.25">
      <c r="A641" s="9" t="s">
        <v>39</v>
      </c>
      <c r="B641" s="9" t="s">
        <v>27</v>
      </c>
      <c r="C641" s="9">
        <v>0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  <c r="P641" s="9">
        <v>0</v>
      </c>
      <c r="Q641" s="9">
        <v>8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4</v>
      </c>
      <c r="X641" s="9">
        <v>0</v>
      </c>
      <c r="Y641" s="9">
        <v>88</v>
      </c>
      <c r="Z641" s="9">
        <v>0</v>
      </c>
    </row>
    <row r="642" spans="1:26" x14ac:dyDescent="0.25">
      <c r="A642" s="9" t="s">
        <v>39</v>
      </c>
      <c r="B642" s="9" t="s">
        <v>27</v>
      </c>
      <c r="C642" s="9">
        <v>0</v>
      </c>
      <c r="D642" s="9">
        <v>0</v>
      </c>
      <c r="E642" s="9">
        <v>0</v>
      </c>
      <c r="F642" s="9">
        <v>4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9">
        <v>12</v>
      </c>
      <c r="X642" s="9">
        <v>0</v>
      </c>
      <c r="Y642" s="9">
        <v>84</v>
      </c>
      <c r="Z642" s="9">
        <v>0</v>
      </c>
    </row>
    <row r="643" spans="1:26" x14ac:dyDescent="0.25">
      <c r="A643" s="9" t="s">
        <v>39</v>
      </c>
      <c r="B643" s="9" t="s">
        <v>27</v>
      </c>
      <c r="C643" s="9">
        <v>0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4</v>
      </c>
      <c r="N643" s="9">
        <v>96</v>
      </c>
      <c r="O643" s="9">
        <v>0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9">
        <v>0</v>
      </c>
      <c r="Y643" s="9">
        <v>0</v>
      </c>
      <c r="Z643" s="9">
        <v>0</v>
      </c>
    </row>
    <row r="644" spans="1:26" x14ac:dyDescent="0.25">
      <c r="A644" s="9" t="s">
        <v>39</v>
      </c>
      <c r="B644" s="9" t="s">
        <v>27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100</v>
      </c>
      <c r="Z644" s="9">
        <v>0</v>
      </c>
    </row>
    <row r="645" spans="1:26" x14ac:dyDescent="0.25">
      <c r="A645" s="9" t="s">
        <v>39</v>
      </c>
      <c r="B645" s="9" t="s">
        <v>27</v>
      </c>
      <c r="C645" s="9">
        <v>0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4</v>
      </c>
      <c r="X645" s="9">
        <v>0</v>
      </c>
      <c r="Y645" s="9">
        <v>96</v>
      </c>
      <c r="Z645" s="9">
        <v>0</v>
      </c>
    </row>
    <row r="646" spans="1:26" x14ac:dyDescent="0.25">
      <c r="A646" s="9" t="s">
        <v>39</v>
      </c>
      <c r="B646" s="9" t="s">
        <v>27</v>
      </c>
      <c r="C646" s="9">
        <v>0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12</v>
      </c>
      <c r="N646" s="9">
        <v>20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68</v>
      </c>
      <c r="Z646" s="9">
        <v>0</v>
      </c>
    </row>
    <row r="647" spans="1:26" x14ac:dyDescent="0.25">
      <c r="A647" s="9" t="s">
        <v>39</v>
      </c>
      <c r="B647" s="9" t="s">
        <v>28</v>
      </c>
      <c r="C647" s="9">
        <v>0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100</v>
      </c>
      <c r="Z647" s="9">
        <v>0</v>
      </c>
    </row>
    <row r="648" spans="1:26" x14ac:dyDescent="0.25">
      <c r="A648" s="9" t="s">
        <v>39</v>
      </c>
      <c r="B648" s="9" t="s">
        <v>28</v>
      </c>
      <c r="C648" s="9">
        <v>0</v>
      </c>
      <c r="D648" s="9">
        <v>0</v>
      </c>
      <c r="E648" s="9">
        <v>0</v>
      </c>
      <c r="F648" s="9">
        <v>20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v>8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68</v>
      </c>
      <c r="Z648" s="9">
        <v>4</v>
      </c>
    </row>
    <row r="649" spans="1:26" x14ac:dyDescent="0.25">
      <c r="A649" s="9" t="s">
        <v>39</v>
      </c>
      <c r="B649" s="9" t="s">
        <v>28</v>
      </c>
      <c r="C649" s="9">
        <v>0</v>
      </c>
      <c r="D649" s="9">
        <v>0</v>
      </c>
      <c r="E649" s="9">
        <v>0</v>
      </c>
      <c r="F649" s="9">
        <v>64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12</v>
      </c>
      <c r="X649" s="9">
        <v>0</v>
      </c>
      <c r="Y649" s="9">
        <v>16</v>
      </c>
      <c r="Z649" s="9">
        <v>8</v>
      </c>
    </row>
    <row r="650" spans="1:26" x14ac:dyDescent="0.25">
      <c r="A650" s="9" t="s">
        <v>39</v>
      </c>
      <c r="B650" s="9" t="s">
        <v>28</v>
      </c>
      <c r="C650" s="9">
        <v>0</v>
      </c>
      <c r="D650" s="9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4</v>
      </c>
      <c r="N650" s="9">
        <v>20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  <c r="W650" s="9">
        <v>8</v>
      </c>
      <c r="X650" s="9">
        <v>0</v>
      </c>
      <c r="Y650" s="9">
        <v>64</v>
      </c>
      <c r="Z650" s="9">
        <v>4</v>
      </c>
    </row>
    <row r="651" spans="1:26" x14ac:dyDescent="0.25">
      <c r="A651" s="9" t="s">
        <v>39</v>
      </c>
      <c r="B651" s="9" t="s">
        <v>28</v>
      </c>
      <c r="C651" s="9">
        <v>0</v>
      </c>
      <c r="D651" s="9">
        <v>0</v>
      </c>
      <c r="E651" s="9">
        <v>0</v>
      </c>
      <c r="F651" s="9">
        <v>20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4</v>
      </c>
      <c r="M651" s="9">
        <v>12</v>
      </c>
      <c r="N651" s="9">
        <v>8</v>
      </c>
      <c r="O651" s="9">
        <v>0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0</v>
      </c>
      <c r="Y651" s="9">
        <v>56</v>
      </c>
      <c r="Z651" s="9">
        <v>0</v>
      </c>
    </row>
    <row r="652" spans="1:26" x14ac:dyDescent="0.25">
      <c r="A652" s="9" t="s">
        <v>39</v>
      </c>
      <c r="B652" s="9" t="s">
        <v>28</v>
      </c>
      <c r="C652" s="9">
        <v>0</v>
      </c>
      <c r="D652" s="9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84</v>
      </c>
      <c r="Z652" s="9">
        <v>16</v>
      </c>
    </row>
    <row r="653" spans="1:26" x14ac:dyDescent="0.25">
      <c r="A653" s="9" t="s">
        <v>39</v>
      </c>
      <c r="B653" s="9" t="s">
        <v>28</v>
      </c>
      <c r="C653" s="9">
        <v>0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4</v>
      </c>
      <c r="X653" s="9">
        <v>0</v>
      </c>
      <c r="Y653" s="9">
        <v>68</v>
      </c>
      <c r="Z653" s="9">
        <v>28</v>
      </c>
    </row>
    <row r="654" spans="1:26" x14ac:dyDescent="0.25">
      <c r="A654" s="9" t="s">
        <v>39</v>
      </c>
      <c r="B654" s="9" t="s">
        <v>28</v>
      </c>
      <c r="C654" s="9">
        <v>0</v>
      </c>
      <c r="D654" s="9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4</v>
      </c>
      <c r="X654" s="9">
        <v>0</v>
      </c>
      <c r="Y654" s="9">
        <v>88</v>
      </c>
      <c r="Z654" s="9">
        <v>8</v>
      </c>
    </row>
    <row r="655" spans="1:26" x14ac:dyDescent="0.25">
      <c r="A655" s="9" t="s">
        <v>39</v>
      </c>
      <c r="B655" s="9" t="s">
        <v>28</v>
      </c>
      <c r="C655" s="9">
        <v>0</v>
      </c>
      <c r="D655" s="9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4</v>
      </c>
      <c r="U655" s="9">
        <v>0</v>
      </c>
      <c r="V655" s="9">
        <v>0</v>
      </c>
      <c r="W655" s="9">
        <v>0</v>
      </c>
      <c r="X655" s="9">
        <v>0</v>
      </c>
      <c r="Y655" s="9">
        <v>88</v>
      </c>
      <c r="Z655" s="9">
        <v>8</v>
      </c>
    </row>
    <row r="656" spans="1:26" x14ac:dyDescent="0.25">
      <c r="A656" s="9" t="s">
        <v>39</v>
      </c>
      <c r="B656" s="9" t="s">
        <v>28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4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4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4</v>
      </c>
      <c r="X656" s="9">
        <v>0</v>
      </c>
      <c r="Y656" s="9">
        <v>76</v>
      </c>
      <c r="Z656" s="9">
        <v>12</v>
      </c>
    </row>
    <row r="657" spans="1:26" x14ac:dyDescent="0.25">
      <c r="A657" s="9" t="s">
        <v>39</v>
      </c>
      <c r="B657" s="9" t="s">
        <v>28</v>
      </c>
      <c r="C657" s="9">
        <v>0</v>
      </c>
      <c r="D657" s="9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100</v>
      </c>
      <c r="Z657" s="9">
        <v>0</v>
      </c>
    </row>
    <row r="658" spans="1:26" x14ac:dyDescent="0.25">
      <c r="A658" s="9" t="s">
        <v>39</v>
      </c>
      <c r="B658" s="9" t="s">
        <v>28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96</v>
      </c>
      <c r="O658" s="9">
        <v>0</v>
      </c>
      <c r="P658" s="9">
        <v>0</v>
      </c>
      <c r="Q658" s="9">
        <v>4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</row>
    <row r="659" spans="1:26" x14ac:dyDescent="0.25">
      <c r="A659" s="9" t="s">
        <v>39</v>
      </c>
      <c r="B659" s="9" t="s">
        <v>28</v>
      </c>
      <c r="C659" s="9">
        <v>0</v>
      </c>
      <c r="D659" s="9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100</v>
      </c>
      <c r="Z659" s="9">
        <v>0</v>
      </c>
    </row>
    <row r="660" spans="1:26" x14ac:dyDescent="0.25">
      <c r="A660" s="9" t="s">
        <v>39</v>
      </c>
      <c r="B660" s="9" t="s">
        <v>28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92</v>
      </c>
      <c r="Z660" s="9">
        <v>8</v>
      </c>
    </row>
    <row r="661" spans="1:26" x14ac:dyDescent="0.25">
      <c r="A661" s="9" t="s">
        <v>39</v>
      </c>
      <c r="B661" s="9" t="s">
        <v>28</v>
      </c>
      <c r="C661" s="9">
        <v>0</v>
      </c>
      <c r="D661" s="9">
        <v>0</v>
      </c>
      <c r="E661" s="9">
        <v>0</v>
      </c>
      <c r="F661" s="9">
        <v>64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4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24</v>
      </c>
      <c r="Z661" s="9">
        <v>8</v>
      </c>
    </row>
    <row r="662" spans="1:26" x14ac:dyDescent="0.25">
      <c r="A662" s="9" t="s">
        <v>39</v>
      </c>
      <c r="B662" s="9" t="s">
        <v>29</v>
      </c>
      <c r="C662" s="9">
        <v>0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96</v>
      </c>
      <c r="Z662" s="9">
        <v>4</v>
      </c>
    </row>
    <row r="663" spans="1:26" x14ac:dyDescent="0.25">
      <c r="A663" s="9" t="s">
        <v>39</v>
      </c>
      <c r="B663" s="9" t="s">
        <v>29</v>
      </c>
      <c r="C663" s="9">
        <v>0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4</v>
      </c>
      <c r="X663" s="9">
        <v>0</v>
      </c>
      <c r="Y663" s="9">
        <v>96</v>
      </c>
      <c r="Z663" s="9">
        <v>0</v>
      </c>
    </row>
    <row r="664" spans="1:26" x14ac:dyDescent="0.25">
      <c r="A664" s="9" t="s">
        <v>39</v>
      </c>
      <c r="B664" s="9" t="s">
        <v>29</v>
      </c>
      <c r="C664" s="9">
        <v>0</v>
      </c>
      <c r="D664" s="9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8</v>
      </c>
      <c r="X664" s="9">
        <v>0</v>
      </c>
      <c r="Y664" s="9">
        <v>84</v>
      </c>
      <c r="Z664" s="9">
        <v>8</v>
      </c>
    </row>
    <row r="665" spans="1:26" x14ac:dyDescent="0.25">
      <c r="A665" s="9" t="s">
        <v>39</v>
      </c>
      <c r="B665" s="9" t="s">
        <v>29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4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4</v>
      </c>
      <c r="X665" s="9">
        <v>0</v>
      </c>
      <c r="Y665" s="9">
        <v>80</v>
      </c>
      <c r="Z665" s="9">
        <v>12</v>
      </c>
    </row>
    <row r="666" spans="1:26" x14ac:dyDescent="0.25">
      <c r="A666" s="9" t="s">
        <v>39</v>
      </c>
      <c r="B666" s="9" t="s">
        <v>29</v>
      </c>
      <c r="C666" s="9">
        <v>0</v>
      </c>
      <c r="D666" s="9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4</v>
      </c>
      <c r="U666" s="9">
        <v>0</v>
      </c>
      <c r="V666" s="9">
        <v>0</v>
      </c>
      <c r="W666" s="9">
        <v>8</v>
      </c>
      <c r="X666" s="9">
        <v>4</v>
      </c>
      <c r="Y666" s="9">
        <v>68</v>
      </c>
      <c r="Z666" s="9">
        <v>16</v>
      </c>
    </row>
    <row r="667" spans="1:26" x14ac:dyDescent="0.25">
      <c r="A667" s="9" t="s">
        <v>39</v>
      </c>
      <c r="B667" s="9" t="s">
        <v>29</v>
      </c>
      <c r="C667" s="9">
        <v>0</v>
      </c>
      <c r="D667" s="9">
        <v>0</v>
      </c>
      <c r="E667" s="9">
        <v>0</v>
      </c>
      <c r="F667" s="9">
        <v>80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20</v>
      </c>
      <c r="Z667" s="9">
        <v>0</v>
      </c>
    </row>
    <row r="668" spans="1:26" x14ac:dyDescent="0.25">
      <c r="A668" s="9" t="s">
        <v>39</v>
      </c>
      <c r="B668" s="9" t="s">
        <v>29</v>
      </c>
      <c r="C668" s="9">
        <v>0</v>
      </c>
      <c r="D668" s="9">
        <v>0</v>
      </c>
      <c r="E668" s="9">
        <v>0</v>
      </c>
      <c r="F668" s="9">
        <v>96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4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</row>
    <row r="669" spans="1:26" x14ac:dyDescent="0.25">
      <c r="A669" s="9" t="s">
        <v>39</v>
      </c>
      <c r="B669" s="9" t="s">
        <v>29</v>
      </c>
      <c r="C669" s="9">
        <v>0</v>
      </c>
      <c r="D669" s="9">
        <v>0</v>
      </c>
      <c r="E669" s="9">
        <v>0</v>
      </c>
      <c r="F669" s="9">
        <v>80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4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16</v>
      </c>
      <c r="Z669" s="9">
        <v>0</v>
      </c>
    </row>
    <row r="670" spans="1:26" x14ac:dyDescent="0.25">
      <c r="A670" s="9" t="s">
        <v>39</v>
      </c>
      <c r="B670" s="9" t="s">
        <v>29</v>
      </c>
      <c r="C670" s="9">
        <v>0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8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12</v>
      </c>
      <c r="X670" s="9">
        <v>0</v>
      </c>
      <c r="Y670" s="9">
        <v>80</v>
      </c>
      <c r="Z670" s="9">
        <v>0</v>
      </c>
    </row>
    <row r="671" spans="1:26" x14ac:dyDescent="0.25">
      <c r="A671" s="9" t="s">
        <v>39</v>
      </c>
      <c r="B671" s="9" t="s">
        <v>29</v>
      </c>
      <c r="C671" s="9">
        <v>0</v>
      </c>
      <c r="D671" s="9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96</v>
      </c>
      <c r="Z671" s="9">
        <v>4</v>
      </c>
    </row>
    <row r="672" spans="1:26" x14ac:dyDescent="0.25">
      <c r="A672" s="9" t="s">
        <v>39</v>
      </c>
      <c r="B672" s="9" t="s">
        <v>29</v>
      </c>
      <c r="C672" s="9">
        <v>0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8</v>
      </c>
      <c r="X672" s="9">
        <v>0</v>
      </c>
      <c r="Y672" s="9">
        <v>80</v>
      </c>
      <c r="Z672" s="9">
        <v>12</v>
      </c>
    </row>
    <row r="673" spans="1:26" x14ac:dyDescent="0.25">
      <c r="A673" s="9" t="s">
        <v>39</v>
      </c>
      <c r="B673" s="9" t="s">
        <v>29</v>
      </c>
      <c r="C673" s="9">
        <v>0</v>
      </c>
      <c r="D673" s="9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4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96</v>
      </c>
      <c r="Z673" s="9">
        <v>0</v>
      </c>
    </row>
    <row r="674" spans="1:26" x14ac:dyDescent="0.25">
      <c r="A674" s="9" t="s">
        <v>39</v>
      </c>
      <c r="B674" s="9" t="s">
        <v>29</v>
      </c>
      <c r="C674" s="9">
        <v>0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12</v>
      </c>
      <c r="N674" s="9">
        <v>52</v>
      </c>
      <c r="O674" s="9">
        <v>0</v>
      </c>
      <c r="P674" s="9">
        <v>0</v>
      </c>
      <c r="Q674" s="9">
        <v>4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  <c r="W674" s="9">
        <v>0</v>
      </c>
      <c r="X674" s="9">
        <v>0</v>
      </c>
      <c r="Y674" s="9">
        <v>32</v>
      </c>
      <c r="Z674" s="9">
        <v>0</v>
      </c>
    </row>
    <row r="675" spans="1:26" x14ac:dyDescent="0.25">
      <c r="A675" s="9" t="s">
        <v>39</v>
      </c>
      <c r="B675" s="9" t="s">
        <v>29</v>
      </c>
      <c r="C675" s="9">
        <v>0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24</v>
      </c>
      <c r="N675" s="9">
        <v>4</v>
      </c>
      <c r="O675" s="9">
        <v>0</v>
      </c>
      <c r="P675" s="9">
        <v>8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4</v>
      </c>
      <c r="X675" s="9">
        <v>4</v>
      </c>
      <c r="Y675" s="9">
        <v>56</v>
      </c>
      <c r="Z675" s="9">
        <v>0</v>
      </c>
    </row>
    <row r="676" spans="1:26" x14ac:dyDescent="0.25">
      <c r="A676" s="9" t="s">
        <v>39</v>
      </c>
      <c r="B676" s="9" t="s">
        <v>29</v>
      </c>
      <c r="C676" s="9">
        <v>0</v>
      </c>
      <c r="D676" s="9">
        <v>0</v>
      </c>
      <c r="E676" s="9">
        <v>0</v>
      </c>
      <c r="F676" s="9">
        <v>80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16</v>
      </c>
      <c r="Z676" s="9">
        <v>4</v>
      </c>
    </row>
    <row r="677" spans="1:26" x14ac:dyDescent="0.25">
      <c r="A677" s="9" t="s">
        <v>39</v>
      </c>
      <c r="B677" s="9" t="s">
        <v>30</v>
      </c>
      <c r="C677" s="9">
        <v>0</v>
      </c>
      <c r="D677" s="9">
        <v>0</v>
      </c>
      <c r="E677" s="9">
        <v>0</v>
      </c>
      <c r="F677" s="9">
        <v>4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4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4</v>
      </c>
      <c r="X677" s="9">
        <v>0</v>
      </c>
      <c r="Y677" s="9">
        <v>88</v>
      </c>
      <c r="Z677" s="9">
        <v>0</v>
      </c>
    </row>
    <row r="678" spans="1:26" x14ac:dyDescent="0.25">
      <c r="A678" s="9" t="s">
        <v>39</v>
      </c>
      <c r="B678" s="9" t="s">
        <v>30</v>
      </c>
      <c r="C678" s="9">
        <v>0</v>
      </c>
      <c r="D678" s="9">
        <v>0</v>
      </c>
      <c r="E678" s="9">
        <v>0</v>
      </c>
      <c r="F678" s="9">
        <v>92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8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0</v>
      </c>
      <c r="Z678" s="9">
        <v>0</v>
      </c>
    </row>
    <row r="679" spans="1:26" x14ac:dyDescent="0.25">
      <c r="A679" s="9" t="s">
        <v>39</v>
      </c>
      <c r="B679" s="9" t="s">
        <v>30</v>
      </c>
      <c r="C679" s="9">
        <v>0</v>
      </c>
      <c r="D679" s="9">
        <v>0</v>
      </c>
      <c r="E679" s="9">
        <v>0</v>
      </c>
      <c r="F679" s="9">
        <v>100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0</v>
      </c>
    </row>
    <row r="680" spans="1:26" x14ac:dyDescent="0.25">
      <c r="A680" s="9" t="s">
        <v>39</v>
      </c>
      <c r="B680" s="9" t="s">
        <v>30</v>
      </c>
      <c r="C680" s="9">
        <v>0</v>
      </c>
      <c r="D680" s="9">
        <v>0</v>
      </c>
      <c r="E680" s="9">
        <v>0</v>
      </c>
      <c r="F680" s="9">
        <v>60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  <c r="W680" s="9">
        <v>0</v>
      </c>
      <c r="X680" s="9">
        <v>0</v>
      </c>
      <c r="Y680" s="9">
        <v>40</v>
      </c>
      <c r="Z680" s="9">
        <v>0</v>
      </c>
    </row>
    <row r="681" spans="1:26" x14ac:dyDescent="0.25">
      <c r="A681" s="9" t="s">
        <v>39</v>
      </c>
      <c r="B681" s="9" t="s">
        <v>30</v>
      </c>
      <c r="C681" s="9">
        <v>0</v>
      </c>
      <c r="D681" s="9">
        <v>0</v>
      </c>
      <c r="E681" s="9">
        <v>0</v>
      </c>
      <c r="F681" s="9">
        <v>92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4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Y681" s="9">
        <v>4</v>
      </c>
      <c r="Z681" s="9">
        <v>0</v>
      </c>
    </row>
    <row r="682" spans="1:26" x14ac:dyDescent="0.25">
      <c r="A682" s="9" t="s">
        <v>39</v>
      </c>
      <c r="B682" s="9" t="s">
        <v>30</v>
      </c>
      <c r="C682" s="9">
        <v>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92</v>
      </c>
      <c r="Z682" s="9">
        <v>8</v>
      </c>
    </row>
    <row r="683" spans="1:26" x14ac:dyDescent="0.25">
      <c r="A683" s="9" t="s">
        <v>39</v>
      </c>
      <c r="B683" s="9" t="s">
        <v>30</v>
      </c>
      <c r="C683" s="9">
        <v>0</v>
      </c>
      <c r="D683" s="9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92</v>
      </c>
      <c r="Z683" s="9">
        <v>8</v>
      </c>
    </row>
    <row r="684" spans="1:26" x14ac:dyDescent="0.25">
      <c r="A684" s="9" t="s">
        <v>39</v>
      </c>
      <c r="B684" s="9" t="s">
        <v>30</v>
      </c>
      <c r="C684" s="9">
        <v>0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  <c r="W684" s="9">
        <v>0</v>
      </c>
      <c r="X684" s="9">
        <v>0</v>
      </c>
      <c r="Y684" s="9">
        <v>96</v>
      </c>
      <c r="Z684" s="9">
        <v>4</v>
      </c>
    </row>
    <row r="685" spans="1:26" x14ac:dyDescent="0.25">
      <c r="A685" s="9" t="s">
        <v>39</v>
      </c>
      <c r="B685" s="9" t="s">
        <v>30</v>
      </c>
      <c r="C685" s="9">
        <v>0</v>
      </c>
      <c r="D685" s="9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68</v>
      </c>
      <c r="O685" s="9">
        <v>0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0</v>
      </c>
      <c r="Y685" s="9">
        <v>28</v>
      </c>
      <c r="Z685" s="9">
        <v>4</v>
      </c>
    </row>
    <row r="686" spans="1:26" x14ac:dyDescent="0.25">
      <c r="A686" s="9" t="s">
        <v>39</v>
      </c>
      <c r="B686" s="9" t="s">
        <v>30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8</v>
      </c>
      <c r="N686" s="9">
        <v>4</v>
      </c>
      <c r="O686" s="9">
        <v>0</v>
      </c>
      <c r="P686" s="9">
        <v>0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9">
        <v>4</v>
      </c>
      <c r="X686" s="9">
        <v>0</v>
      </c>
      <c r="Y686" s="9">
        <v>80</v>
      </c>
      <c r="Z686" s="9">
        <v>4</v>
      </c>
    </row>
    <row r="687" spans="1:26" x14ac:dyDescent="0.25">
      <c r="A687" s="9" t="s">
        <v>39</v>
      </c>
      <c r="B687" s="9" t="s">
        <v>30</v>
      </c>
      <c r="C687" s="9">
        <v>0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8</v>
      </c>
      <c r="N687" s="9">
        <v>16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0</v>
      </c>
      <c r="X687" s="9">
        <v>0</v>
      </c>
      <c r="Y687" s="9">
        <v>76</v>
      </c>
      <c r="Z687" s="9">
        <v>0</v>
      </c>
    </row>
    <row r="688" spans="1:26" x14ac:dyDescent="0.25">
      <c r="A688" s="9" t="s">
        <v>39</v>
      </c>
      <c r="B688" s="9" t="s">
        <v>30</v>
      </c>
      <c r="C688" s="9">
        <v>0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100</v>
      </c>
      <c r="Z688" s="9">
        <v>0</v>
      </c>
    </row>
    <row r="689" spans="1:26" x14ac:dyDescent="0.25">
      <c r="A689" s="9" t="s">
        <v>39</v>
      </c>
      <c r="B689" s="9" t="s">
        <v>30</v>
      </c>
      <c r="C689" s="9">
        <v>0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9">
        <v>0</v>
      </c>
      <c r="X689" s="9">
        <v>0</v>
      </c>
      <c r="Y689" s="9">
        <v>100</v>
      </c>
      <c r="Z689" s="9">
        <v>0</v>
      </c>
    </row>
    <row r="690" spans="1:26" x14ac:dyDescent="0.25">
      <c r="A690" s="9" t="s">
        <v>39</v>
      </c>
      <c r="B690" s="9" t="s">
        <v>30</v>
      </c>
      <c r="C690" s="9">
        <v>0</v>
      </c>
      <c r="D690" s="9">
        <v>0</v>
      </c>
      <c r="E690" s="9">
        <v>0</v>
      </c>
      <c r="F690" s="9">
        <v>16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  <c r="Q690" s="9">
        <v>4</v>
      </c>
      <c r="R690" s="9">
        <v>0</v>
      </c>
      <c r="S690" s="9">
        <v>0</v>
      </c>
      <c r="T690" s="9">
        <v>0</v>
      </c>
      <c r="U690" s="9">
        <v>0</v>
      </c>
      <c r="V690" s="9">
        <v>0</v>
      </c>
      <c r="W690" s="9">
        <v>4</v>
      </c>
      <c r="X690" s="9">
        <v>4</v>
      </c>
      <c r="Y690" s="9">
        <v>72</v>
      </c>
      <c r="Z690" s="9">
        <v>0</v>
      </c>
    </row>
    <row r="691" spans="1:26" x14ac:dyDescent="0.25">
      <c r="A691" s="9" t="s">
        <v>39</v>
      </c>
      <c r="B691" s="9" t="s">
        <v>30</v>
      </c>
      <c r="C691" s="9">
        <v>0</v>
      </c>
      <c r="D691" s="9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12</v>
      </c>
      <c r="O691" s="9">
        <v>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  <c r="W691" s="9">
        <v>4</v>
      </c>
      <c r="X691" s="9">
        <v>0</v>
      </c>
      <c r="Y691" s="9">
        <v>84</v>
      </c>
      <c r="Z691" s="9">
        <v>0</v>
      </c>
    </row>
    <row r="692" spans="1:26" x14ac:dyDescent="0.25">
      <c r="A692" s="9" t="s">
        <v>39</v>
      </c>
      <c r="B692" s="9" t="s">
        <v>31</v>
      </c>
      <c r="C692" s="9">
        <v>0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>
        <v>4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9">
        <v>0</v>
      </c>
      <c r="X692" s="9">
        <v>0</v>
      </c>
      <c r="Y692" s="9">
        <v>96</v>
      </c>
      <c r="Z692" s="9">
        <v>0</v>
      </c>
    </row>
    <row r="693" spans="1:26" x14ac:dyDescent="0.25">
      <c r="A693" s="9" t="s">
        <v>39</v>
      </c>
      <c r="B693" s="9" t="s">
        <v>31</v>
      </c>
      <c r="C693" s="9">
        <v>0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8</v>
      </c>
      <c r="O693" s="9">
        <v>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9">
        <v>0</v>
      </c>
      <c r="Y693" s="9">
        <v>92</v>
      </c>
      <c r="Z693" s="9">
        <v>0</v>
      </c>
    </row>
    <row r="694" spans="1:26" x14ac:dyDescent="0.25">
      <c r="A694" s="9" t="s">
        <v>39</v>
      </c>
      <c r="B694" s="9" t="s">
        <v>31</v>
      </c>
      <c r="C694" s="9">
        <v>0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0</v>
      </c>
      <c r="Y694" s="9">
        <v>100</v>
      </c>
      <c r="Z694" s="9">
        <v>0</v>
      </c>
    </row>
    <row r="695" spans="1:26" x14ac:dyDescent="0.25">
      <c r="A695" s="9" t="s">
        <v>39</v>
      </c>
      <c r="B695" s="9" t="s">
        <v>31</v>
      </c>
      <c r="C695" s="9">
        <v>0</v>
      </c>
      <c r="D695" s="9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  <c r="W695" s="9">
        <v>0</v>
      </c>
      <c r="X695" s="9">
        <v>0</v>
      </c>
      <c r="Y695" s="9">
        <v>100</v>
      </c>
      <c r="Z695" s="9">
        <v>0</v>
      </c>
    </row>
    <row r="696" spans="1:26" x14ac:dyDescent="0.25">
      <c r="A696" s="9" t="s">
        <v>39</v>
      </c>
      <c r="B696" s="9" t="s">
        <v>31</v>
      </c>
      <c r="C696" s="9">
        <v>0</v>
      </c>
      <c r="D696" s="9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4</v>
      </c>
      <c r="O696" s="9">
        <v>0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9">
        <v>4</v>
      </c>
      <c r="X696" s="9">
        <v>0</v>
      </c>
      <c r="Y696" s="9">
        <v>84</v>
      </c>
      <c r="Z696" s="9">
        <v>8</v>
      </c>
    </row>
    <row r="697" spans="1:26" x14ac:dyDescent="0.25">
      <c r="A697" s="9" t="s">
        <v>39</v>
      </c>
      <c r="B697" s="9" t="s">
        <v>31</v>
      </c>
      <c r="C697" s="9">
        <v>0</v>
      </c>
      <c r="D697" s="9">
        <v>0</v>
      </c>
      <c r="E697" s="9">
        <v>0</v>
      </c>
      <c r="F697" s="9">
        <v>88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  <c r="W697" s="9">
        <v>0</v>
      </c>
      <c r="X697" s="9">
        <v>0</v>
      </c>
      <c r="Y697" s="9">
        <v>12</v>
      </c>
      <c r="Z697" s="9">
        <v>0</v>
      </c>
    </row>
    <row r="698" spans="1:26" x14ac:dyDescent="0.25">
      <c r="A698" s="9" t="s">
        <v>39</v>
      </c>
      <c r="B698" s="9" t="s">
        <v>31</v>
      </c>
      <c r="C698" s="9">
        <v>0</v>
      </c>
      <c r="D698" s="9">
        <v>0</v>
      </c>
      <c r="E698" s="9">
        <v>0</v>
      </c>
      <c r="F698" s="9">
        <v>28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P698" s="9">
        <v>0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  <c r="W698" s="9">
        <v>0</v>
      </c>
      <c r="X698" s="9">
        <v>0</v>
      </c>
      <c r="Y698" s="9">
        <v>68</v>
      </c>
      <c r="Z698" s="9">
        <v>4</v>
      </c>
    </row>
    <row r="699" spans="1:26" x14ac:dyDescent="0.25">
      <c r="A699" s="9" t="s">
        <v>39</v>
      </c>
      <c r="B699" s="9" t="s">
        <v>31</v>
      </c>
      <c r="C699" s="9">
        <v>0</v>
      </c>
      <c r="D699" s="9">
        <v>0</v>
      </c>
      <c r="E699" s="9">
        <v>0</v>
      </c>
      <c r="F699" s="9">
        <v>92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>
        <v>0</v>
      </c>
      <c r="X699" s="9">
        <v>0</v>
      </c>
      <c r="Y699" s="9">
        <v>8</v>
      </c>
      <c r="Z699" s="9">
        <v>0</v>
      </c>
    </row>
    <row r="700" spans="1:26" x14ac:dyDescent="0.25">
      <c r="A700" s="9" t="s">
        <v>39</v>
      </c>
      <c r="B700" s="9" t="s">
        <v>31</v>
      </c>
      <c r="C700" s="9">
        <v>0</v>
      </c>
      <c r="D700" s="9">
        <v>0</v>
      </c>
      <c r="E700" s="9">
        <v>0</v>
      </c>
      <c r="F700" s="9">
        <v>28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4</v>
      </c>
      <c r="N700" s="9">
        <v>68</v>
      </c>
      <c r="O700" s="9">
        <v>0</v>
      </c>
      <c r="P700" s="9">
        <v>0</v>
      </c>
      <c r="Q700" s="9">
        <v>0</v>
      </c>
      <c r="R700" s="9">
        <v>0</v>
      </c>
      <c r="S700" s="9">
        <v>0</v>
      </c>
      <c r="T700" s="9">
        <v>0</v>
      </c>
      <c r="U700" s="9">
        <v>0</v>
      </c>
      <c r="V700" s="9">
        <v>0</v>
      </c>
      <c r="W700" s="9">
        <v>0</v>
      </c>
      <c r="X700" s="9">
        <v>0</v>
      </c>
      <c r="Y700" s="9">
        <v>0</v>
      </c>
      <c r="Z700" s="9">
        <v>0</v>
      </c>
    </row>
    <row r="701" spans="1:26" x14ac:dyDescent="0.25">
      <c r="A701" s="9" t="s">
        <v>39</v>
      </c>
      <c r="B701" s="9" t="s">
        <v>31</v>
      </c>
      <c r="C701" s="9">
        <v>0</v>
      </c>
      <c r="D701" s="9">
        <v>0</v>
      </c>
      <c r="E701" s="9">
        <v>0</v>
      </c>
      <c r="F701" s="9">
        <v>96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9">
        <v>0</v>
      </c>
      <c r="X701" s="9">
        <v>0</v>
      </c>
      <c r="Y701" s="9">
        <v>4</v>
      </c>
      <c r="Z701" s="9">
        <v>0</v>
      </c>
    </row>
    <row r="702" spans="1:26" x14ac:dyDescent="0.25">
      <c r="A702" s="9" t="s">
        <v>39</v>
      </c>
      <c r="B702" s="9" t="s">
        <v>31</v>
      </c>
      <c r="C702" s="9">
        <v>0</v>
      </c>
      <c r="D702" s="9">
        <v>0</v>
      </c>
      <c r="E702" s="9">
        <v>0</v>
      </c>
      <c r="F702" s="9">
        <v>100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9">
        <v>0</v>
      </c>
    </row>
    <row r="703" spans="1:26" x14ac:dyDescent="0.25">
      <c r="A703" s="9" t="s">
        <v>39</v>
      </c>
      <c r="B703" s="9" t="s">
        <v>31</v>
      </c>
      <c r="C703" s="9">
        <v>0</v>
      </c>
      <c r="D703" s="9">
        <v>0</v>
      </c>
      <c r="E703" s="9">
        <v>0</v>
      </c>
      <c r="F703" s="9">
        <v>60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40</v>
      </c>
      <c r="Z703" s="9">
        <v>0</v>
      </c>
    </row>
    <row r="704" spans="1:26" x14ac:dyDescent="0.25">
      <c r="A704" s="9" t="s">
        <v>39</v>
      </c>
      <c r="B704" s="9" t="s">
        <v>31</v>
      </c>
      <c r="C704" s="9">
        <v>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9">
        <v>0</v>
      </c>
      <c r="X704" s="9">
        <v>0</v>
      </c>
      <c r="Y704" s="9">
        <v>100</v>
      </c>
      <c r="Z704" s="9">
        <v>0</v>
      </c>
    </row>
    <row r="705" spans="1:26" x14ac:dyDescent="0.25">
      <c r="A705" s="9" t="s">
        <v>39</v>
      </c>
      <c r="B705" s="9" t="s">
        <v>31</v>
      </c>
      <c r="C705" s="9">
        <v>0</v>
      </c>
      <c r="D705" s="9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>
        <v>12</v>
      </c>
      <c r="X705" s="9">
        <v>0</v>
      </c>
      <c r="Y705" s="9">
        <v>76</v>
      </c>
      <c r="Z705" s="9">
        <v>12</v>
      </c>
    </row>
    <row r="706" spans="1:26" x14ac:dyDescent="0.25">
      <c r="A706" s="9" t="s">
        <v>39</v>
      </c>
      <c r="B706" s="9" t="s">
        <v>31</v>
      </c>
      <c r="C706" s="9">
        <v>0</v>
      </c>
      <c r="D706" s="9">
        <v>0</v>
      </c>
      <c r="E706" s="9">
        <v>0</v>
      </c>
      <c r="F706" s="9">
        <v>52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  <c r="W706" s="9">
        <v>4</v>
      </c>
      <c r="X706" s="9">
        <v>4</v>
      </c>
      <c r="Y706" s="9">
        <v>40</v>
      </c>
      <c r="Z706" s="9">
        <v>0</v>
      </c>
    </row>
    <row r="707" spans="1:26" x14ac:dyDescent="0.25">
      <c r="A707" s="9" t="s">
        <v>39</v>
      </c>
      <c r="B707" s="9" t="s">
        <v>32</v>
      </c>
      <c r="C707" s="9">
        <v>0</v>
      </c>
      <c r="D707" s="9">
        <v>0</v>
      </c>
      <c r="E707" s="9">
        <v>0</v>
      </c>
      <c r="F707" s="9">
        <v>52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8</v>
      </c>
      <c r="N707" s="9">
        <v>40</v>
      </c>
      <c r="O707" s="9">
        <v>0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>
        <v>0</v>
      </c>
      <c r="X707" s="9">
        <v>0</v>
      </c>
      <c r="Y707" s="9">
        <v>0</v>
      </c>
      <c r="Z707" s="9">
        <v>0</v>
      </c>
    </row>
    <row r="708" spans="1:26" x14ac:dyDescent="0.25">
      <c r="A708" s="9" t="s">
        <v>39</v>
      </c>
      <c r="B708" s="9" t="s">
        <v>32</v>
      </c>
      <c r="C708" s="9">
        <v>0</v>
      </c>
      <c r="D708" s="9">
        <v>0</v>
      </c>
      <c r="E708" s="9">
        <v>0</v>
      </c>
      <c r="F708" s="9">
        <v>92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>
        <v>0</v>
      </c>
      <c r="X708" s="9">
        <v>0</v>
      </c>
      <c r="Y708" s="9">
        <v>8</v>
      </c>
      <c r="Z708" s="9">
        <v>0</v>
      </c>
    </row>
    <row r="709" spans="1:26" x14ac:dyDescent="0.25">
      <c r="A709" s="9" t="s">
        <v>39</v>
      </c>
      <c r="B709" s="9" t="s">
        <v>32</v>
      </c>
      <c r="C709" s="9">
        <v>0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4</v>
      </c>
      <c r="K709" s="9">
        <v>0</v>
      </c>
      <c r="L709" s="9">
        <v>0</v>
      </c>
      <c r="M709" s="9">
        <v>8</v>
      </c>
      <c r="N709" s="9">
        <v>4</v>
      </c>
      <c r="O709" s="9">
        <v>0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0</v>
      </c>
      <c r="X709" s="9">
        <v>4</v>
      </c>
      <c r="Y709" s="9">
        <v>76</v>
      </c>
      <c r="Z709" s="9">
        <v>4</v>
      </c>
    </row>
    <row r="710" spans="1:26" x14ac:dyDescent="0.25">
      <c r="A710" s="9" t="s">
        <v>39</v>
      </c>
      <c r="B710" s="9" t="s">
        <v>32</v>
      </c>
      <c r="C710" s="9">
        <v>0</v>
      </c>
      <c r="D710" s="9">
        <v>0</v>
      </c>
      <c r="E710" s="9">
        <v>0</v>
      </c>
      <c r="F710" s="9">
        <v>76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4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0</v>
      </c>
      <c r="X710" s="9">
        <v>0</v>
      </c>
      <c r="Y710" s="9">
        <v>20</v>
      </c>
      <c r="Z710" s="9">
        <v>0</v>
      </c>
    </row>
    <row r="711" spans="1:26" x14ac:dyDescent="0.25">
      <c r="A711" s="9" t="s">
        <v>39</v>
      </c>
      <c r="B711" s="9" t="s">
        <v>32</v>
      </c>
      <c r="C711" s="9">
        <v>0</v>
      </c>
      <c r="D711" s="9">
        <v>0</v>
      </c>
      <c r="E711" s="9">
        <v>8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4</v>
      </c>
      <c r="O711" s="9">
        <v>0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>
        <v>4</v>
      </c>
      <c r="X711" s="9">
        <v>0</v>
      </c>
      <c r="Y711" s="9">
        <v>68</v>
      </c>
      <c r="Z711" s="9">
        <v>16</v>
      </c>
    </row>
    <row r="712" spans="1:26" x14ac:dyDescent="0.25">
      <c r="A712" s="9" t="s">
        <v>39</v>
      </c>
      <c r="B712" s="9" t="s">
        <v>32</v>
      </c>
      <c r="C712" s="9">
        <v>0</v>
      </c>
      <c r="D712" s="9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8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9">
        <v>4</v>
      </c>
      <c r="X712" s="9">
        <v>0</v>
      </c>
      <c r="Y712" s="9">
        <v>84</v>
      </c>
      <c r="Z712" s="9">
        <v>4</v>
      </c>
    </row>
    <row r="713" spans="1:26" x14ac:dyDescent="0.25">
      <c r="A713" s="9" t="s">
        <v>39</v>
      </c>
      <c r="B713" s="9" t="s">
        <v>32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4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96</v>
      </c>
      <c r="Z713" s="9">
        <v>0</v>
      </c>
    </row>
    <row r="714" spans="1:26" x14ac:dyDescent="0.25">
      <c r="A714" s="9" t="s">
        <v>39</v>
      </c>
      <c r="B714" s="9" t="s">
        <v>32</v>
      </c>
      <c r="C714" s="9">
        <v>0</v>
      </c>
      <c r="D714" s="9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4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  <c r="W714" s="9">
        <v>0</v>
      </c>
      <c r="X714" s="9">
        <v>0</v>
      </c>
      <c r="Y714" s="9">
        <v>92</v>
      </c>
      <c r="Z714" s="9">
        <v>4</v>
      </c>
    </row>
    <row r="715" spans="1:26" x14ac:dyDescent="0.25">
      <c r="A715" s="9" t="s">
        <v>39</v>
      </c>
      <c r="B715" s="9" t="s">
        <v>32</v>
      </c>
      <c r="C715" s="9">
        <v>0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9">
        <v>4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84</v>
      </c>
      <c r="Z715" s="9">
        <v>12</v>
      </c>
    </row>
    <row r="716" spans="1:26" x14ac:dyDescent="0.25">
      <c r="A716" s="9" t="s">
        <v>39</v>
      </c>
      <c r="B716" s="9" t="s">
        <v>32</v>
      </c>
      <c r="C716" s="9">
        <v>0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>
        <v>4</v>
      </c>
      <c r="X716" s="9">
        <v>0</v>
      </c>
      <c r="Y716" s="9">
        <v>88</v>
      </c>
      <c r="Z716" s="9">
        <v>8</v>
      </c>
    </row>
    <row r="717" spans="1:26" x14ac:dyDescent="0.25">
      <c r="A717" s="9" t="s">
        <v>39</v>
      </c>
      <c r="B717" s="9" t="s">
        <v>32</v>
      </c>
      <c r="C717" s="9">
        <v>0</v>
      </c>
      <c r="D717" s="9">
        <v>0</v>
      </c>
      <c r="E717" s="9">
        <v>0</v>
      </c>
      <c r="F717" s="9">
        <v>16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4</v>
      </c>
      <c r="N717" s="9">
        <v>0</v>
      </c>
      <c r="O717" s="9">
        <v>0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  <c r="W717" s="9">
        <v>8</v>
      </c>
      <c r="X717" s="9">
        <v>0</v>
      </c>
      <c r="Y717" s="9">
        <v>72</v>
      </c>
      <c r="Z717" s="9">
        <v>0</v>
      </c>
    </row>
    <row r="718" spans="1:26" x14ac:dyDescent="0.25">
      <c r="A718" s="9" t="s">
        <v>39</v>
      </c>
      <c r="B718" s="9" t="s">
        <v>32</v>
      </c>
      <c r="C718" s="9">
        <v>0</v>
      </c>
      <c r="D718" s="9">
        <v>0</v>
      </c>
      <c r="E718" s="9">
        <v>0</v>
      </c>
      <c r="F718" s="9">
        <v>4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96</v>
      </c>
      <c r="Z718" s="9">
        <v>0</v>
      </c>
    </row>
    <row r="719" spans="1:26" x14ac:dyDescent="0.25">
      <c r="A719" s="9" t="s">
        <v>39</v>
      </c>
      <c r="B719" s="9" t="s">
        <v>32</v>
      </c>
      <c r="C719" s="9">
        <v>0</v>
      </c>
      <c r="D719" s="9">
        <v>0</v>
      </c>
      <c r="E719" s="9">
        <v>0</v>
      </c>
      <c r="F719" s="9">
        <v>84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16</v>
      </c>
      <c r="Z719" s="9">
        <v>0</v>
      </c>
    </row>
    <row r="720" spans="1:26" x14ac:dyDescent="0.25">
      <c r="A720" s="9" t="s">
        <v>39</v>
      </c>
      <c r="B720" s="9" t="s">
        <v>32</v>
      </c>
      <c r="C720" s="9">
        <v>0</v>
      </c>
      <c r="D720" s="9">
        <v>0</v>
      </c>
      <c r="E720" s="9">
        <v>0</v>
      </c>
      <c r="F720" s="9">
        <v>76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24</v>
      </c>
      <c r="Z720" s="9">
        <v>0</v>
      </c>
    </row>
    <row r="721" spans="1:26" x14ac:dyDescent="0.25">
      <c r="A721" s="9" t="s">
        <v>39</v>
      </c>
      <c r="B721" s="9" t="s">
        <v>32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96</v>
      </c>
      <c r="Z721" s="9">
        <v>4</v>
      </c>
    </row>
    <row r="722" spans="1:26" x14ac:dyDescent="0.25">
      <c r="A722" s="9" t="s">
        <v>40</v>
      </c>
      <c r="B722" s="9" t="s">
        <v>27</v>
      </c>
      <c r="C722" s="9">
        <v>0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12</v>
      </c>
      <c r="O722" s="9">
        <v>0</v>
      </c>
      <c r="P722" s="9">
        <v>0</v>
      </c>
      <c r="Q722" s="9">
        <v>8</v>
      </c>
      <c r="R722" s="9">
        <v>0</v>
      </c>
      <c r="S722" s="9">
        <v>0</v>
      </c>
      <c r="T722" s="9">
        <v>20</v>
      </c>
      <c r="U722" s="9">
        <v>0</v>
      </c>
      <c r="V722" s="9">
        <v>0</v>
      </c>
      <c r="W722" s="9">
        <v>8</v>
      </c>
      <c r="X722" s="9">
        <v>0</v>
      </c>
      <c r="Y722" s="9">
        <v>48</v>
      </c>
      <c r="Z722" s="9">
        <v>4</v>
      </c>
    </row>
    <row r="723" spans="1:26" x14ac:dyDescent="0.25">
      <c r="A723" s="9" t="s">
        <v>40</v>
      </c>
      <c r="B723" s="9" t="s">
        <v>27</v>
      </c>
      <c r="C723" s="9">
        <v>0</v>
      </c>
      <c r="D723" s="9">
        <v>0</v>
      </c>
      <c r="E723" s="9">
        <v>0</v>
      </c>
      <c r="F723" s="9">
        <v>0</v>
      </c>
      <c r="G723" s="9">
        <v>12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v>4</v>
      </c>
      <c r="R723" s="9">
        <v>0</v>
      </c>
      <c r="S723" s="9">
        <v>4</v>
      </c>
      <c r="T723" s="9">
        <v>16</v>
      </c>
      <c r="U723" s="9">
        <v>0</v>
      </c>
      <c r="V723" s="9">
        <v>0</v>
      </c>
      <c r="W723" s="9">
        <v>0</v>
      </c>
      <c r="X723" s="9">
        <v>0</v>
      </c>
      <c r="Y723" s="9">
        <v>60</v>
      </c>
      <c r="Z723" s="9">
        <v>4</v>
      </c>
    </row>
    <row r="724" spans="1:26" x14ac:dyDescent="0.25">
      <c r="A724" s="9" t="s">
        <v>40</v>
      </c>
      <c r="B724" s="9" t="s">
        <v>27</v>
      </c>
      <c r="C724" s="9">
        <v>0</v>
      </c>
      <c r="D724" s="9">
        <v>0</v>
      </c>
      <c r="E724" s="9">
        <v>0</v>
      </c>
      <c r="F724" s="9">
        <v>0</v>
      </c>
      <c r="G724" s="9">
        <v>8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4</v>
      </c>
      <c r="R724" s="9">
        <v>0</v>
      </c>
      <c r="S724" s="9">
        <v>8</v>
      </c>
      <c r="T724" s="9">
        <v>16</v>
      </c>
      <c r="U724" s="9">
        <v>0</v>
      </c>
      <c r="V724" s="9">
        <v>0</v>
      </c>
      <c r="W724" s="9">
        <v>0</v>
      </c>
      <c r="X724" s="9">
        <v>0</v>
      </c>
      <c r="Y724" s="9">
        <v>52</v>
      </c>
      <c r="Z724" s="9">
        <v>12</v>
      </c>
    </row>
    <row r="725" spans="1:26" x14ac:dyDescent="0.25">
      <c r="A725" s="9" t="s">
        <v>40</v>
      </c>
      <c r="B725" s="9" t="s">
        <v>27</v>
      </c>
      <c r="C725" s="9">
        <v>0</v>
      </c>
      <c r="D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24</v>
      </c>
      <c r="N725" s="9">
        <v>4</v>
      </c>
      <c r="O725" s="9">
        <v>0</v>
      </c>
      <c r="P725" s="9">
        <v>4</v>
      </c>
      <c r="Q725" s="9">
        <v>8</v>
      </c>
      <c r="R725" s="9">
        <v>0</v>
      </c>
      <c r="S725" s="9">
        <v>0</v>
      </c>
      <c r="T725" s="9">
        <v>8</v>
      </c>
      <c r="U725" s="9">
        <v>0</v>
      </c>
      <c r="V725" s="9">
        <v>0</v>
      </c>
      <c r="W725" s="9">
        <v>0</v>
      </c>
      <c r="X725" s="9">
        <v>0</v>
      </c>
      <c r="Y725" s="9">
        <v>52</v>
      </c>
      <c r="Z725" s="9">
        <v>0</v>
      </c>
    </row>
    <row r="726" spans="1:26" x14ac:dyDescent="0.25">
      <c r="A726" s="9" t="s">
        <v>40</v>
      </c>
      <c r="B726" s="9" t="s">
        <v>27</v>
      </c>
      <c r="C726" s="9">
        <v>0</v>
      </c>
      <c r="D726" s="9">
        <v>0</v>
      </c>
      <c r="E726" s="9">
        <v>0</v>
      </c>
      <c r="F726" s="9">
        <v>0</v>
      </c>
      <c r="G726" s="9">
        <v>4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12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9">
        <v>8</v>
      </c>
      <c r="T726" s="9">
        <v>4</v>
      </c>
      <c r="U726" s="9">
        <v>0</v>
      </c>
      <c r="V726" s="9">
        <v>0</v>
      </c>
      <c r="W726" s="9">
        <v>4</v>
      </c>
      <c r="X726" s="9">
        <v>0</v>
      </c>
      <c r="Y726" s="9">
        <v>64</v>
      </c>
      <c r="Z726" s="9">
        <v>4</v>
      </c>
    </row>
    <row r="727" spans="1:26" x14ac:dyDescent="0.25">
      <c r="A727" s="9" t="s">
        <v>40</v>
      </c>
      <c r="B727" s="9" t="s">
        <v>27</v>
      </c>
      <c r="C727" s="9">
        <v>0</v>
      </c>
      <c r="D727" s="9">
        <v>0</v>
      </c>
      <c r="E727" s="9">
        <v>4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8</v>
      </c>
      <c r="U727" s="9">
        <v>0</v>
      </c>
      <c r="V727" s="9">
        <v>0</v>
      </c>
      <c r="W727" s="9">
        <v>8</v>
      </c>
      <c r="X727" s="9">
        <v>0</v>
      </c>
      <c r="Y727" s="9">
        <v>76</v>
      </c>
      <c r="Z727" s="9">
        <v>4</v>
      </c>
    </row>
    <row r="728" spans="1:26" x14ac:dyDescent="0.25">
      <c r="A728" s="9" t="s">
        <v>40</v>
      </c>
      <c r="B728" s="9" t="s">
        <v>27</v>
      </c>
      <c r="C728" s="9">
        <v>0</v>
      </c>
      <c r="D728" s="9">
        <v>0</v>
      </c>
      <c r="E728" s="9">
        <v>20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4</v>
      </c>
      <c r="R728" s="9">
        <v>0</v>
      </c>
      <c r="S728" s="9">
        <v>16</v>
      </c>
      <c r="T728" s="9">
        <v>12</v>
      </c>
      <c r="U728" s="9">
        <v>0</v>
      </c>
      <c r="V728" s="9">
        <v>0</v>
      </c>
      <c r="W728" s="9">
        <v>0</v>
      </c>
      <c r="X728" s="9">
        <v>4</v>
      </c>
      <c r="Y728" s="9">
        <v>40</v>
      </c>
      <c r="Z728" s="9">
        <v>4</v>
      </c>
    </row>
    <row r="729" spans="1:26" x14ac:dyDescent="0.25">
      <c r="A729" s="9" t="s">
        <v>40</v>
      </c>
      <c r="B729" s="9" t="s">
        <v>27</v>
      </c>
      <c r="C729" s="9">
        <v>0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4</v>
      </c>
      <c r="N729" s="9">
        <v>8</v>
      </c>
      <c r="O729" s="9">
        <v>0</v>
      </c>
      <c r="P729" s="9">
        <v>0</v>
      </c>
      <c r="Q729" s="9">
        <v>0</v>
      </c>
      <c r="R729" s="9">
        <v>0</v>
      </c>
      <c r="S729" s="9">
        <v>4</v>
      </c>
      <c r="T729" s="9">
        <v>16</v>
      </c>
      <c r="U729" s="9">
        <v>0</v>
      </c>
      <c r="V729" s="9">
        <v>0</v>
      </c>
      <c r="W729" s="9">
        <v>0</v>
      </c>
      <c r="X729" s="9">
        <v>0</v>
      </c>
      <c r="Y729" s="9">
        <v>68</v>
      </c>
      <c r="Z729" s="9">
        <v>0</v>
      </c>
    </row>
    <row r="730" spans="1:26" x14ac:dyDescent="0.25">
      <c r="A730" s="9" t="s">
        <v>40</v>
      </c>
      <c r="B730" s="9" t="s">
        <v>27</v>
      </c>
      <c r="C730" s="9">
        <v>0</v>
      </c>
      <c r="D730" s="9">
        <v>0</v>
      </c>
      <c r="E730" s="9">
        <v>12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  <c r="O730" s="9">
        <v>0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88</v>
      </c>
      <c r="Z730" s="9">
        <v>0</v>
      </c>
    </row>
    <row r="731" spans="1:26" x14ac:dyDescent="0.25">
      <c r="A731" s="9" t="s">
        <v>40</v>
      </c>
      <c r="B731" s="9" t="s">
        <v>27</v>
      </c>
      <c r="C731" s="9">
        <v>0</v>
      </c>
      <c r="D731" s="9">
        <v>0</v>
      </c>
      <c r="E731" s="9">
        <v>12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 s="9">
        <v>0</v>
      </c>
      <c r="T731" s="9">
        <v>24</v>
      </c>
      <c r="U731" s="9">
        <v>0</v>
      </c>
      <c r="V731" s="9">
        <v>0</v>
      </c>
      <c r="W731" s="9">
        <v>0</v>
      </c>
      <c r="X731" s="9">
        <v>0</v>
      </c>
      <c r="Y731" s="9">
        <v>64</v>
      </c>
      <c r="Z731" s="9">
        <v>0</v>
      </c>
    </row>
    <row r="732" spans="1:26" x14ac:dyDescent="0.25">
      <c r="A732" s="9" t="s">
        <v>40</v>
      </c>
      <c r="B732" s="9" t="s">
        <v>27</v>
      </c>
      <c r="C732" s="9">
        <v>0</v>
      </c>
      <c r="D732" s="9">
        <v>0</v>
      </c>
      <c r="E732" s="9">
        <v>4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9">
        <v>8</v>
      </c>
      <c r="T732" s="9">
        <v>4</v>
      </c>
      <c r="U732" s="9">
        <v>0</v>
      </c>
      <c r="V732" s="9">
        <v>0</v>
      </c>
      <c r="W732" s="9">
        <v>4</v>
      </c>
      <c r="X732" s="9">
        <v>0</v>
      </c>
      <c r="Y732" s="9">
        <v>80</v>
      </c>
      <c r="Z732" s="9">
        <v>0</v>
      </c>
    </row>
    <row r="733" spans="1:26" x14ac:dyDescent="0.25">
      <c r="A733" s="9" t="s">
        <v>40</v>
      </c>
      <c r="B733" s="9" t="s">
        <v>27</v>
      </c>
      <c r="C733" s="9">
        <v>0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9">
        <v>8</v>
      </c>
      <c r="U733" s="9">
        <v>0</v>
      </c>
      <c r="V733" s="9">
        <v>0</v>
      </c>
      <c r="W733" s="9">
        <v>0</v>
      </c>
      <c r="X733" s="9">
        <v>0</v>
      </c>
      <c r="Y733" s="9">
        <v>92</v>
      </c>
      <c r="Z733" s="9">
        <v>0</v>
      </c>
    </row>
    <row r="734" spans="1:26" x14ac:dyDescent="0.25">
      <c r="A734" s="9" t="s">
        <v>40</v>
      </c>
      <c r="B734" s="9" t="s">
        <v>27</v>
      </c>
      <c r="C734" s="9">
        <v>0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  <c r="Q734" s="9">
        <v>4</v>
      </c>
      <c r="R734" s="9">
        <v>0</v>
      </c>
      <c r="S734" s="9">
        <v>0</v>
      </c>
      <c r="T734" s="9">
        <v>32</v>
      </c>
      <c r="U734" s="9">
        <v>0</v>
      </c>
      <c r="V734" s="9">
        <v>0</v>
      </c>
      <c r="W734" s="9">
        <v>4</v>
      </c>
      <c r="X734" s="9">
        <v>0</v>
      </c>
      <c r="Y734" s="9">
        <v>56</v>
      </c>
      <c r="Z734" s="9">
        <v>4</v>
      </c>
    </row>
    <row r="735" spans="1:26" x14ac:dyDescent="0.25">
      <c r="A735" s="9" t="s">
        <v>40</v>
      </c>
      <c r="B735" s="9" t="s">
        <v>27</v>
      </c>
      <c r="C735" s="9">
        <v>0</v>
      </c>
      <c r="D735" s="9">
        <v>0</v>
      </c>
      <c r="E735" s="9">
        <v>0</v>
      </c>
      <c r="F735" s="9">
        <v>0</v>
      </c>
      <c r="G735" s="9">
        <v>28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4</v>
      </c>
      <c r="R735" s="9">
        <v>0</v>
      </c>
      <c r="S735" s="9">
        <v>0</v>
      </c>
      <c r="T735" s="9">
        <v>32</v>
      </c>
      <c r="U735" s="9">
        <v>0</v>
      </c>
      <c r="V735" s="9">
        <v>0</v>
      </c>
      <c r="W735" s="9">
        <v>0</v>
      </c>
      <c r="X735" s="9">
        <v>0</v>
      </c>
      <c r="Y735" s="9">
        <v>36</v>
      </c>
      <c r="Z735" s="9">
        <v>0</v>
      </c>
    </row>
    <row r="736" spans="1:26" x14ac:dyDescent="0.25">
      <c r="A736" s="9" t="s">
        <v>40</v>
      </c>
      <c r="B736" s="9" t="s">
        <v>27</v>
      </c>
      <c r="C736" s="9">
        <v>0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16</v>
      </c>
      <c r="U736" s="9">
        <v>0</v>
      </c>
      <c r="V736" s="9">
        <v>0</v>
      </c>
      <c r="W736" s="9">
        <v>0</v>
      </c>
      <c r="X736" s="9">
        <v>0</v>
      </c>
      <c r="Y736" s="9">
        <v>80</v>
      </c>
      <c r="Z736" s="9">
        <v>4</v>
      </c>
    </row>
    <row r="737" spans="1:26" x14ac:dyDescent="0.25">
      <c r="A737" s="9" t="s">
        <v>40</v>
      </c>
      <c r="B737" s="9" t="s">
        <v>28</v>
      </c>
      <c r="C737" s="9">
        <v>0</v>
      </c>
      <c r="D737" s="9">
        <v>0</v>
      </c>
      <c r="E737" s="9">
        <v>12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v>0</v>
      </c>
      <c r="R737" s="9">
        <v>0</v>
      </c>
      <c r="S737" s="9">
        <v>0</v>
      </c>
      <c r="T737" s="9">
        <v>12</v>
      </c>
      <c r="U737" s="9">
        <v>0</v>
      </c>
      <c r="V737" s="9">
        <v>0</v>
      </c>
      <c r="W737" s="9">
        <v>0</v>
      </c>
      <c r="X737" s="9">
        <v>0</v>
      </c>
      <c r="Y737" s="9">
        <v>72</v>
      </c>
      <c r="Z737" s="9">
        <v>4</v>
      </c>
    </row>
    <row r="738" spans="1:26" x14ac:dyDescent="0.25">
      <c r="A738" s="9" t="s">
        <v>40</v>
      </c>
      <c r="B738" s="9" t="s">
        <v>28</v>
      </c>
      <c r="C738" s="9">
        <v>20</v>
      </c>
      <c r="D738" s="9">
        <v>0</v>
      </c>
      <c r="E738" s="9">
        <v>4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  <c r="Q738" s="9">
        <v>4</v>
      </c>
      <c r="R738" s="9">
        <v>0</v>
      </c>
      <c r="S738" s="9">
        <v>4</v>
      </c>
      <c r="T738" s="9">
        <v>8</v>
      </c>
      <c r="U738" s="9">
        <v>0</v>
      </c>
      <c r="V738" s="9">
        <v>0</v>
      </c>
      <c r="W738" s="9">
        <v>0</v>
      </c>
      <c r="X738" s="9">
        <v>0</v>
      </c>
      <c r="Y738" s="9">
        <v>60</v>
      </c>
      <c r="Z738" s="9">
        <v>0</v>
      </c>
    </row>
    <row r="739" spans="1:26" x14ac:dyDescent="0.25">
      <c r="A739" s="9" t="s">
        <v>40</v>
      </c>
      <c r="B739" s="9" t="s">
        <v>28</v>
      </c>
      <c r="C739" s="9">
        <v>0</v>
      </c>
      <c r="D739" s="9">
        <v>0</v>
      </c>
      <c r="E739" s="9">
        <v>8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4</v>
      </c>
      <c r="N739" s="9">
        <v>0</v>
      </c>
      <c r="O739" s="9">
        <v>0</v>
      </c>
      <c r="P739" s="9">
        <v>0</v>
      </c>
      <c r="Q739" s="9">
        <v>0</v>
      </c>
      <c r="R739" s="9">
        <v>0</v>
      </c>
      <c r="S739" s="9">
        <v>4</v>
      </c>
      <c r="T739" s="9">
        <v>0</v>
      </c>
      <c r="U739" s="9">
        <v>0</v>
      </c>
      <c r="V739" s="9">
        <v>0</v>
      </c>
      <c r="W739" s="9">
        <v>4</v>
      </c>
      <c r="X739" s="9">
        <v>0</v>
      </c>
      <c r="Y739" s="9">
        <v>80</v>
      </c>
      <c r="Z739" s="9">
        <v>0</v>
      </c>
    </row>
    <row r="740" spans="1:26" x14ac:dyDescent="0.25">
      <c r="A740" s="9" t="s">
        <v>40</v>
      </c>
      <c r="B740" s="9" t="s">
        <v>28</v>
      </c>
      <c r="C740" s="9">
        <v>0</v>
      </c>
      <c r="D740" s="9">
        <v>0</v>
      </c>
      <c r="E740" s="9">
        <v>12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 s="9">
        <v>12</v>
      </c>
      <c r="T740" s="9">
        <v>28</v>
      </c>
      <c r="U740" s="9">
        <v>0</v>
      </c>
      <c r="V740" s="9">
        <v>0</v>
      </c>
      <c r="W740" s="9">
        <v>0</v>
      </c>
      <c r="X740" s="9">
        <v>0</v>
      </c>
      <c r="Y740" s="9">
        <v>44</v>
      </c>
      <c r="Z740" s="9">
        <v>4</v>
      </c>
    </row>
    <row r="741" spans="1:26" x14ac:dyDescent="0.25">
      <c r="A741" s="9" t="s">
        <v>40</v>
      </c>
      <c r="B741" s="9" t="s">
        <v>28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4</v>
      </c>
      <c r="O741" s="9">
        <v>0</v>
      </c>
      <c r="P741" s="9">
        <v>0</v>
      </c>
      <c r="Q741" s="9">
        <v>8</v>
      </c>
      <c r="R741" s="9">
        <v>0</v>
      </c>
      <c r="S741" s="9">
        <v>0</v>
      </c>
      <c r="T741" s="9">
        <v>12</v>
      </c>
      <c r="U741" s="9">
        <v>0</v>
      </c>
      <c r="V741" s="9">
        <v>0</v>
      </c>
      <c r="W741" s="9">
        <v>0</v>
      </c>
      <c r="X741" s="9">
        <v>0</v>
      </c>
      <c r="Y741" s="9">
        <v>76</v>
      </c>
      <c r="Z741" s="9">
        <v>0</v>
      </c>
    </row>
    <row r="742" spans="1:26" x14ac:dyDescent="0.25">
      <c r="A742" s="9" t="s">
        <v>40</v>
      </c>
      <c r="B742" s="9" t="s">
        <v>28</v>
      </c>
      <c r="C742" s="9">
        <v>0</v>
      </c>
      <c r="D742" s="9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12</v>
      </c>
      <c r="O742" s="9">
        <v>0</v>
      </c>
      <c r="P742" s="9">
        <v>0</v>
      </c>
      <c r="Q742" s="9">
        <v>0</v>
      </c>
      <c r="R742" s="9">
        <v>0</v>
      </c>
      <c r="S742" s="9">
        <v>8</v>
      </c>
      <c r="T742" s="9">
        <v>0</v>
      </c>
      <c r="U742" s="9">
        <v>0</v>
      </c>
      <c r="V742" s="9">
        <v>0</v>
      </c>
      <c r="W742" s="9">
        <v>8</v>
      </c>
      <c r="X742" s="9">
        <v>0</v>
      </c>
      <c r="Y742" s="9">
        <v>72</v>
      </c>
      <c r="Z742" s="9">
        <v>0</v>
      </c>
    </row>
    <row r="743" spans="1:26" x14ac:dyDescent="0.25">
      <c r="A743" s="9" t="s">
        <v>40</v>
      </c>
      <c r="B743" s="9" t="s">
        <v>28</v>
      </c>
      <c r="C743" s="9">
        <v>0</v>
      </c>
      <c r="D743" s="9">
        <v>0</v>
      </c>
      <c r="E743" s="9">
        <v>0</v>
      </c>
      <c r="F743" s="9">
        <v>0</v>
      </c>
      <c r="G743" s="9">
        <v>16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4</v>
      </c>
      <c r="R743" s="9">
        <v>0</v>
      </c>
      <c r="S743" s="9">
        <v>0</v>
      </c>
      <c r="T743" s="9">
        <v>32</v>
      </c>
      <c r="U743" s="9">
        <v>0</v>
      </c>
      <c r="V743" s="9">
        <v>0</v>
      </c>
      <c r="W743" s="9">
        <v>0</v>
      </c>
      <c r="X743" s="9">
        <v>0</v>
      </c>
      <c r="Y743" s="9">
        <v>44</v>
      </c>
      <c r="Z743" s="9">
        <v>4</v>
      </c>
    </row>
    <row r="744" spans="1:26" x14ac:dyDescent="0.25">
      <c r="A744" s="9" t="s">
        <v>40</v>
      </c>
      <c r="B744" s="9" t="s">
        <v>28</v>
      </c>
      <c r="C744" s="9">
        <v>0</v>
      </c>
      <c r="D744" s="9">
        <v>0</v>
      </c>
      <c r="E744" s="9">
        <v>0</v>
      </c>
      <c r="F744" s="9">
        <v>36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9">
        <v>4</v>
      </c>
      <c r="T744" s="9">
        <v>16</v>
      </c>
      <c r="U744" s="9">
        <v>0</v>
      </c>
      <c r="V744" s="9">
        <v>0</v>
      </c>
      <c r="W744" s="9">
        <v>0</v>
      </c>
      <c r="X744" s="9">
        <v>0</v>
      </c>
      <c r="Y744" s="9">
        <v>44</v>
      </c>
      <c r="Z744" s="9">
        <v>0</v>
      </c>
    </row>
    <row r="745" spans="1:26" x14ac:dyDescent="0.25">
      <c r="A745" s="9" t="s">
        <v>40</v>
      </c>
      <c r="B745" s="9" t="s">
        <v>28</v>
      </c>
      <c r="C745" s="9">
        <v>0</v>
      </c>
      <c r="D745" s="9">
        <v>0</v>
      </c>
      <c r="E745" s="9">
        <v>0</v>
      </c>
      <c r="F745" s="9">
        <v>0</v>
      </c>
      <c r="G745" s="9">
        <v>4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12</v>
      </c>
      <c r="T745" s="9">
        <v>24</v>
      </c>
      <c r="U745" s="9">
        <v>0</v>
      </c>
      <c r="V745" s="9">
        <v>0</v>
      </c>
      <c r="W745" s="9">
        <v>4</v>
      </c>
      <c r="X745" s="9">
        <v>0</v>
      </c>
      <c r="Y745" s="9">
        <v>52</v>
      </c>
      <c r="Z745" s="9">
        <v>4</v>
      </c>
    </row>
    <row r="746" spans="1:26" x14ac:dyDescent="0.25">
      <c r="A746" s="9" t="s">
        <v>40</v>
      </c>
      <c r="B746" s="9" t="s">
        <v>28</v>
      </c>
      <c r="C746" s="9">
        <v>0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4</v>
      </c>
      <c r="R746" s="9">
        <v>0</v>
      </c>
      <c r="S746" s="9">
        <v>0</v>
      </c>
      <c r="T746" s="9">
        <v>36</v>
      </c>
      <c r="U746" s="9">
        <v>0</v>
      </c>
      <c r="V746" s="9">
        <v>0</v>
      </c>
      <c r="W746" s="9">
        <v>0</v>
      </c>
      <c r="X746" s="9">
        <v>0</v>
      </c>
      <c r="Y746" s="9">
        <v>60</v>
      </c>
      <c r="Z746" s="9">
        <v>0</v>
      </c>
    </row>
    <row r="747" spans="1:26" x14ac:dyDescent="0.25">
      <c r="A747" s="9" t="s">
        <v>40</v>
      </c>
      <c r="B747" s="9" t="s">
        <v>28</v>
      </c>
      <c r="C747" s="9">
        <v>0</v>
      </c>
      <c r="D747" s="9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4</v>
      </c>
      <c r="O747" s="9">
        <v>0</v>
      </c>
      <c r="P747" s="9">
        <v>0</v>
      </c>
      <c r="Q747" s="9">
        <v>0</v>
      </c>
      <c r="R747" s="9">
        <v>0</v>
      </c>
      <c r="S747" s="9">
        <v>0</v>
      </c>
      <c r="T747" s="9">
        <v>24</v>
      </c>
      <c r="U747" s="9">
        <v>0</v>
      </c>
      <c r="V747" s="9">
        <v>0</v>
      </c>
      <c r="W747" s="9">
        <v>4</v>
      </c>
      <c r="X747" s="9">
        <v>4</v>
      </c>
      <c r="Y747" s="9">
        <v>64</v>
      </c>
      <c r="Z747" s="9">
        <v>0</v>
      </c>
    </row>
    <row r="748" spans="1:26" x14ac:dyDescent="0.25">
      <c r="A748" s="9" t="s">
        <v>40</v>
      </c>
      <c r="B748" s="9" t="s">
        <v>28</v>
      </c>
      <c r="C748" s="9">
        <v>0</v>
      </c>
      <c r="D748" s="9">
        <v>0</v>
      </c>
      <c r="E748" s="9">
        <v>12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v>0</v>
      </c>
      <c r="R748" s="9">
        <v>0</v>
      </c>
      <c r="S748" s="9">
        <v>4</v>
      </c>
      <c r="T748" s="9">
        <v>4</v>
      </c>
      <c r="U748" s="9">
        <v>0</v>
      </c>
      <c r="V748" s="9">
        <v>0</v>
      </c>
      <c r="W748" s="9">
        <v>0</v>
      </c>
      <c r="X748" s="9">
        <v>0</v>
      </c>
      <c r="Y748" s="9">
        <v>80</v>
      </c>
      <c r="Z748" s="9">
        <v>0</v>
      </c>
    </row>
    <row r="749" spans="1:26" x14ac:dyDescent="0.25">
      <c r="A749" s="9" t="s">
        <v>40</v>
      </c>
      <c r="B749" s="9" t="s">
        <v>28</v>
      </c>
      <c r="C749" s="9">
        <v>0</v>
      </c>
      <c r="D749" s="9">
        <v>0</v>
      </c>
      <c r="E749" s="9">
        <v>0</v>
      </c>
      <c r="F749" s="9">
        <v>0</v>
      </c>
      <c r="G749" s="9">
        <v>8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9">
        <v>4</v>
      </c>
      <c r="T749" s="9">
        <v>20</v>
      </c>
      <c r="U749" s="9">
        <v>0</v>
      </c>
      <c r="V749" s="9">
        <v>0</v>
      </c>
      <c r="W749" s="9">
        <v>0</v>
      </c>
      <c r="X749" s="9">
        <v>0</v>
      </c>
      <c r="Y749" s="9">
        <v>68</v>
      </c>
      <c r="Z749" s="9">
        <v>0</v>
      </c>
    </row>
    <row r="750" spans="1:26" x14ac:dyDescent="0.25">
      <c r="A750" s="9" t="s">
        <v>40</v>
      </c>
      <c r="B750" s="9" t="s">
        <v>28</v>
      </c>
      <c r="C750" s="9">
        <v>0</v>
      </c>
      <c r="D750" s="9">
        <v>0</v>
      </c>
      <c r="E750" s="9">
        <v>12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9">
        <v>0</v>
      </c>
      <c r="Q750" s="9">
        <v>0</v>
      </c>
      <c r="R750" s="9">
        <v>0</v>
      </c>
      <c r="S750" s="9">
        <v>8</v>
      </c>
      <c r="T750" s="9">
        <v>8</v>
      </c>
      <c r="U750" s="9">
        <v>0</v>
      </c>
      <c r="V750" s="9">
        <v>0</v>
      </c>
      <c r="W750" s="9">
        <v>0</v>
      </c>
      <c r="X750" s="9">
        <v>0</v>
      </c>
      <c r="Y750" s="9">
        <v>72</v>
      </c>
      <c r="Z750" s="9">
        <v>0</v>
      </c>
    </row>
    <row r="751" spans="1:26" x14ac:dyDescent="0.25">
      <c r="A751" s="9" t="s">
        <v>40</v>
      </c>
      <c r="B751" s="9" t="s">
        <v>28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4</v>
      </c>
      <c r="N751" s="9">
        <v>0</v>
      </c>
      <c r="O751" s="9">
        <v>0</v>
      </c>
      <c r="P751" s="9">
        <v>0</v>
      </c>
      <c r="Q751" s="9">
        <v>0</v>
      </c>
      <c r="R751" s="9">
        <v>0</v>
      </c>
      <c r="S751" s="9">
        <v>0</v>
      </c>
      <c r="T751" s="9">
        <v>4</v>
      </c>
      <c r="U751" s="9">
        <v>0</v>
      </c>
      <c r="V751" s="9">
        <v>0</v>
      </c>
      <c r="W751" s="9">
        <v>12</v>
      </c>
      <c r="X751" s="9">
        <v>0</v>
      </c>
      <c r="Y751" s="9">
        <v>76</v>
      </c>
      <c r="Z751" s="9">
        <v>4</v>
      </c>
    </row>
    <row r="752" spans="1:26" x14ac:dyDescent="0.25">
      <c r="A752" s="9" t="s">
        <v>40</v>
      </c>
      <c r="B752" s="9" t="s">
        <v>29</v>
      </c>
      <c r="C752" s="9">
        <v>0</v>
      </c>
      <c r="D752" s="9">
        <v>0</v>
      </c>
      <c r="E752" s="9">
        <v>0</v>
      </c>
      <c r="F752" s="9">
        <v>0</v>
      </c>
      <c r="G752" s="9">
        <v>12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  <c r="Q752" s="9">
        <v>0</v>
      </c>
      <c r="R752" s="9">
        <v>0</v>
      </c>
      <c r="S752" s="9">
        <v>4</v>
      </c>
      <c r="T752" s="9">
        <v>56</v>
      </c>
      <c r="U752" s="9">
        <v>0</v>
      </c>
      <c r="V752" s="9">
        <v>0</v>
      </c>
      <c r="W752" s="9">
        <v>0</v>
      </c>
      <c r="X752" s="9">
        <v>0</v>
      </c>
      <c r="Y752" s="9">
        <v>24</v>
      </c>
      <c r="Z752" s="9">
        <v>4</v>
      </c>
    </row>
    <row r="753" spans="1:26" x14ac:dyDescent="0.25">
      <c r="A753" s="9" t="s">
        <v>40</v>
      </c>
      <c r="B753" s="9" t="s">
        <v>29</v>
      </c>
      <c r="C753" s="9">
        <v>0</v>
      </c>
      <c r="D753" s="9">
        <v>0</v>
      </c>
      <c r="E753" s="9">
        <v>0</v>
      </c>
      <c r="F753" s="9">
        <v>0</v>
      </c>
      <c r="G753" s="9">
        <v>20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48</v>
      </c>
      <c r="U753" s="9">
        <v>0</v>
      </c>
      <c r="V753" s="9">
        <v>0</v>
      </c>
      <c r="W753" s="9">
        <v>0</v>
      </c>
      <c r="X753" s="9">
        <v>0</v>
      </c>
      <c r="Y753" s="9">
        <v>28</v>
      </c>
      <c r="Z753" s="9">
        <v>4</v>
      </c>
    </row>
    <row r="754" spans="1:26" x14ac:dyDescent="0.25">
      <c r="A754" s="9" t="s">
        <v>40</v>
      </c>
      <c r="B754" s="9" t="s">
        <v>29</v>
      </c>
      <c r="C754" s="9">
        <v>0</v>
      </c>
      <c r="D754" s="9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4</v>
      </c>
      <c r="R754" s="9">
        <v>0</v>
      </c>
      <c r="S754" s="9">
        <v>0</v>
      </c>
      <c r="T754" s="9">
        <v>28</v>
      </c>
      <c r="U754" s="9">
        <v>0</v>
      </c>
      <c r="V754" s="9">
        <v>0</v>
      </c>
      <c r="W754" s="9">
        <v>4</v>
      </c>
      <c r="X754" s="9">
        <v>0</v>
      </c>
      <c r="Y754" s="9">
        <v>64</v>
      </c>
      <c r="Z754" s="9">
        <v>0</v>
      </c>
    </row>
    <row r="755" spans="1:26" x14ac:dyDescent="0.25">
      <c r="A755" s="9" t="s">
        <v>40</v>
      </c>
      <c r="B755" s="9" t="s">
        <v>29</v>
      </c>
      <c r="C755" s="9">
        <v>0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P755" s="9">
        <v>0</v>
      </c>
      <c r="Q755" s="9">
        <v>0</v>
      </c>
      <c r="R755" s="9">
        <v>0</v>
      </c>
      <c r="S755" s="9">
        <v>4</v>
      </c>
      <c r="T755" s="9">
        <v>68</v>
      </c>
      <c r="U755" s="9">
        <v>0</v>
      </c>
      <c r="V755" s="9">
        <v>0</v>
      </c>
      <c r="W755" s="9">
        <v>4</v>
      </c>
      <c r="X755" s="9">
        <v>4</v>
      </c>
      <c r="Y755" s="9">
        <v>12</v>
      </c>
      <c r="Z755" s="9">
        <v>8</v>
      </c>
    </row>
    <row r="756" spans="1:26" x14ac:dyDescent="0.25">
      <c r="A756" s="9" t="s">
        <v>40</v>
      </c>
      <c r="B756" s="9" t="s">
        <v>29</v>
      </c>
      <c r="C756" s="9">
        <v>0</v>
      </c>
      <c r="D756" s="9">
        <v>0</v>
      </c>
      <c r="E756" s="9">
        <v>0</v>
      </c>
      <c r="F756" s="9">
        <v>0</v>
      </c>
      <c r="G756" s="9">
        <v>8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  <c r="Q756" s="9">
        <v>0</v>
      </c>
      <c r="R756" s="9">
        <v>0</v>
      </c>
      <c r="S756" s="9">
        <v>0</v>
      </c>
      <c r="T756" s="9">
        <v>12</v>
      </c>
      <c r="U756" s="9">
        <v>0</v>
      </c>
      <c r="V756" s="9">
        <v>0</v>
      </c>
      <c r="W756" s="9">
        <v>0</v>
      </c>
      <c r="X756" s="9">
        <v>0</v>
      </c>
      <c r="Y756" s="9">
        <v>72</v>
      </c>
      <c r="Z756" s="9">
        <v>8</v>
      </c>
    </row>
    <row r="757" spans="1:26" x14ac:dyDescent="0.25">
      <c r="A757" s="9" t="s">
        <v>40</v>
      </c>
      <c r="B757" s="9" t="s">
        <v>29</v>
      </c>
      <c r="C757" s="9">
        <v>0</v>
      </c>
      <c r="D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9">
        <v>0</v>
      </c>
      <c r="P757" s="9">
        <v>0</v>
      </c>
      <c r="Q757" s="9">
        <v>4</v>
      </c>
      <c r="R757" s="9">
        <v>0</v>
      </c>
      <c r="S757" s="9">
        <v>0</v>
      </c>
      <c r="T757" s="9">
        <v>4</v>
      </c>
      <c r="U757" s="9">
        <v>0</v>
      </c>
      <c r="V757" s="9">
        <v>0</v>
      </c>
      <c r="W757" s="9">
        <v>0</v>
      </c>
      <c r="X757" s="9">
        <v>0</v>
      </c>
      <c r="Y757" s="9">
        <v>92</v>
      </c>
      <c r="Z757" s="9">
        <v>0</v>
      </c>
    </row>
    <row r="758" spans="1:26" x14ac:dyDescent="0.25">
      <c r="A758" s="9" t="s">
        <v>40</v>
      </c>
      <c r="B758" s="9" t="s">
        <v>29</v>
      </c>
      <c r="C758" s="9">
        <v>0</v>
      </c>
      <c r="D758" s="9">
        <v>0</v>
      </c>
      <c r="E758" s="9">
        <v>28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 s="9">
        <v>0</v>
      </c>
      <c r="T758" s="9">
        <v>4</v>
      </c>
      <c r="U758" s="9">
        <v>0</v>
      </c>
      <c r="V758" s="9">
        <v>0</v>
      </c>
      <c r="W758" s="9">
        <v>4</v>
      </c>
      <c r="X758" s="9">
        <v>0</v>
      </c>
      <c r="Y758" s="9">
        <v>60</v>
      </c>
      <c r="Z758" s="9">
        <v>4</v>
      </c>
    </row>
    <row r="759" spans="1:26" x14ac:dyDescent="0.25">
      <c r="A759" s="9" t="s">
        <v>40</v>
      </c>
      <c r="B759" s="9" t="s">
        <v>29</v>
      </c>
      <c r="C759" s="9">
        <v>0</v>
      </c>
      <c r="D759" s="9">
        <v>0</v>
      </c>
      <c r="E759" s="9">
        <v>12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 s="9">
        <v>12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76</v>
      </c>
      <c r="Z759" s="9">
        <v>0</v>
      </c>
    </row>
    <row r="760" spans="1:26" x14ac:dyDescent="0.25">
      <c r="A760" s="9" t="s">
        <v>40</v>
      </c>
      <c r="B760" s="9" t="s">
        <v>29</v>
      </c>
      <c r="C760" s="9">
        <v>0</v>
      </c>
      <c r="D760" s="9">
        <v>0</v>
      </c>
      <c r="E760" s="9">
        <v>12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9">
        <v>0</v>
      </c>
      <c r="Q760" s="9">
        <v>0</v>
      </c>
      <c r="R760" s="9">
        <v>0</v>
      </c>
      <c r="S760" s="9">
        <v>4</v>
      </c>
      <c r="T760" s="9">
        <v>8</v>
      </c>
      <c r="U760" s="9">
        <v>0</v>
      </c>
      <c r="V760" s="9">
        <v>0</v>
      </c>
      <c r="W760" s="9">
        <v>0</v>
      </c>
      <c r="X760" s="9">
        <v>0</v>
      </c>
      <c r="Y760" s="9">
        <v>72</v>
      </c>
      <c r="Z760" s="9">
        <v>4</v>
      </c>
    </row>
    <row r="761" spans="1:26" x14ac:dyDescent="0.25">
      <c r="A761" s="9" t="s">
        <v>40</v>
      </c>
      <c r="B761" s="9" t="s">
        <v>29</v>
      </c>
      <c r="C761" s="9">
        <v>0</v>
      </c>
      <c r="D761" s="9">
        <v>0</v>
      </c>
      <c r="E761" s="9">
        <v>4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 s="9">
        <v>0</v>
      </c>
      <c r="T761" s="9">
        <v>8</v>
      </c>
      <c r="U761" s="9">
        <v>0</v>
      </c>
      <c r="V761" s="9">
        <v>0</v>
      </c>
      <c r="W761" s="9">
        <v>0</v>
      </c>
      <c r="X761" s="9">
        <v>0</v>
      </c>
      <c r="Y761" s="9">
        <v>88</v>
      </c>
      <c r="Z761" s="9">
        <v>0</v>
      </c>
    </row>
    <row r="762" spans="1:26" x14ac:dyDescent="0.25">
      <c r="A762" s="9" t="s">
        <v>40</v>
      </c>
      <c r="B762" s="9" t="s">
        <v>29</v>
      </c>
      <c r="C762" s="9">
        <v>0</v>
      </c>
      <c r="D762" s="9">
        <v>0</v>
      </c>
      <c r="E762" s="9">
        <v>8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4</v>
      </c>
      <c r="N762" s="9">
        <v>0</v>
      </c>
      <c r="O762" s="9">
        <v>0</v>
      </c>
      <c r="P762" s="9">
        <v>0</v>
      </c>
      <c r="Q762" s="9">
        <v>4</v>
      </c>
      <c r="R762" s="9">
        <v>0</v>
      </c>
      <c r="S762" s="9">
        <v>4</v>
      </c>
      <c r="T762" s="9">
        <v>12</v>
      </c>
      <c r="U762" s="9">
        <v>0</v>
      </c>
      <c r="V762" s="9">
        <v>0</v>
      </c>
      <c r="W762" s="9">
        <v>0</v>
      </c>
      <c r="X762" s="9">
        <v>0</v>
      </c>
      <c r="Y762" s="9">
        <v>68</v>
      </c>
      <c r="Z762" s="9">
        <v>0</v>
      </c>
    </row>
    <row r="763" spans="1:26" x14ac:dyDescent="0.25">
      <c r="A763" s="9" t="s">
        <v>40</v>
      </c>
      <c r="B763" s="9" t="s">
        <v>29</v>
      </c>
      <c r="C763" s="9">
        <v>0</v>
      </c>
      <c r="D763" s="9">
        <v>0</v>
      </c>
      <c r="E763" s="9">
        <v>0</v>
      </c>
      <c r="F763" s="9">
        <v>0</v>
      </c>
      <c r="G763" s="9">
        <v>4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 s="9">
        <v>4</v>
      </c>
      <c r="T763" s="9">
        <v>24</v>
      </c>
      <c r="U763" s="9">
        <v>0</v>
      </c>
      <c r="V763" s="9">
        <v>0</v>
      </c>
      <c r="W763" s="9">
        <v>0</v>
      </c>
      <c r="X763" s="9">
        <v>0</v>
      </c>
      <c r="Y763" s="9">
        <v>56</v>
      </c>
      <c r="Z763" s="9">
        <v>12</v>
      </c>
    </row>
    <row r="764" spans="1:26" x14ac:dyDescent="0.25">
      <c r="A764" s="9" t="s">
        <v>40</v>
      </c>
      <c r="B764" s="9" t="s">
        <v>29</v>
      </c>
      <c r="C764" s="9">
        <v>0</v>
      </c>
      <c r="D764" s="9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4</v>
      </c>
      <c r="N764" s="9">
        <v>0</v>
      </c>
      <c r="O764" s="9">
        <v>0</v>
      </c>
      <c r="P764" s="9">
        <v>0</v>
      </c>
      <c r="Q764" s="9">
        <v>0</v>
      </c>
      <c r="R764" s="9">
        <v>0</v>
      </c>
      <c r="S764" s="9">
        <v>4</v>
      </c>
      <c r="T764" s="9">
        <v>20</v>
      </c>
      <c r="U764" s="9">
        <v>0</v>
      </c>
      <c r="V764" s="9">
        <v>0</v>
      </c>
      <c r="W764" s="9">
        <v>0</v>
      </c>
      <c r="X764" s="9">
        <v>0</v>
      </c>
      <c r="Y764" s="9">
        <v>64</v>
      </c>
      <c r="Z764" s="9">
        <v>8</v>
      </c>
    </row>
    <row r="765" spans="1:26" x14ac:dyDescent="0.25">
      <c r="A765" s="9" t="s">
        <v>40</v>
      </c>
      <c r="B765" s="9" t="s">
        <v>29</v>
      </c>
      <c r="C765" s="9">
        <v>0</v>
      </c>
      <c r="D765" s="9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0</v>
      </c>
      <c r="S765" s="9">
        <v>0</v>
      </c>
      <c r="T765" s="9">
        <v>12</v>
      </c>
      <c r="U765" s="9">
        <v>0</v>
      </c>
      <c r="V765" s="9">
        <v>0</v>
      </c>
      <c r="W765" s="9">
        <v>0</v>
      </c>
      <c r="X765" s="9">
        <v>0</v>
      </c>
      <c r="Y765" s="9">
        <v>84</v>
      </c>
      <c r="Z765" s="9">
        <v>4</v>
      </c>
    </row>
    <row r="766" spans="1:26" x14ac:dyDescent="0.25">
      <c r="A766" s="9" t="s">
        <v>40</v>
      </c>
      <c r="B766" s="9" t="s">
        <v>29</v>
      </c>
      <c r="C766" s="9">
        <v>0</v>
      </c>
      <c r="D766" s="9">
        <v>0</v>
      </c>
      <c r="E766" s="9">
        <v>4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8</v>
      </c>
      <c r="U766" s="9">
        <v>0</v>
      </c>
      <c r="V766" s="9">
        <v>0</v>
      </c>
      <c r="W766" s="9">
        <v>0</v>
      </c>
      <c r="X766" s="9">
        <v>0</v>
      </c>
      <c r="Y766" s="9">
        <v>88</v>
      </c>
      <c r="Z766" s="9">
        <v>0</v>
      </c>
    </row>
    <row r="767" spans="1:26" x14ac:dyDescent="0.25">
      <c r="A767" s="9" t="s">
        <v>40</v>
      </c>
      <c r="B767" s="9" t="s">
        <v>30</v>
      </c>
      <c r="C767" s="9">
        <v>0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0</v>
      </c>
      <c r="S767" s="9">
        <v>4</v>
      </c>
      <c r="T767" s="9">
        <v>0</v>
      </c>
      <c r="U767" s="9">
        <v>0</v>
      </c>
      <c r="V767" s="9">
        <v>0</v>
      </c>
      <c r="W767" s="9">
        <v>0</v>
      </c>
      <c r="X767" s="9">
        <v>4</v>
      </c>
      <c r="Y767" s="9">
        <v>88</v>
      </c>
      <c r="Z767" s="9">
        <v>4</v>
      </c>
    </row>
    <row r="768" spans="1:26" x14ac:dyDescent="0.25">
      <c r="A768" s="9" t="s">
        <v>40</v>
      </c>
      <c r="B768" s="9" t="s">
        <v>30</v>
      </c>
      <c r="C768" s="9">
        <v>0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9">
        <v>4</v>
      </c>
      <c r="T768" s="9">
        <v>4</v>
      </c>
      <c r="U768" s="9">
        <v>0</v>
      </c>
      <c r="V768" s="9">
        <v>0</v>
      </c>
      <c r="W768" s="9">
        <v>4</v>
      </c>
      <c r="X768" s="9">
        <v>0</v>
      </c>
      <c r="Y768" s="9">
        <v>84</v>
      </c>
      <c r="Z768" s="9">
        <v>4</v>
      </c>
    </row>
    <row r="769" spans="1:26" x14ac:dyDescent="0.25">
      <c r="A769" s="9" t="s">
        <v>40</v>
      </c>
      <c r="B769" s="9" t="s">
        <v>30</v>
      </c>
      <c r="C769" s="9">
        <v>0</v>
      </c>
      <c r="D769" s="9">
        <v>0</v>
      </c>
      <c r="E769" s="9">
        <v>28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4</v>
      </c>
      <c r="R769" s="9">
        <v>0</v>
      </c>
      <c r="S769" s="9">
        <v>0</v>
      </c>
      <c r="T769" s="9">
        <v>8</v>
      </c>
      <c r="U769" s="9">
        <v>0</v>
      </c>
      <c r="V769" s="9">
        <v>0</v>
      </c>
      <c r="W769" s="9">
        <v>0</v>
      </c>
      <c r="X769" s="9">
        <v>0</v>
      </c>
      <c r="Y769" s="9">
        <v>60</v>
      </c>
      <c r="Z769" s="9">
        <v>0</v>
      </c>
    </row>
    <row r="770" spans="1:26" x14ac:dyDescent="0.25">
      <c r="A770" s="9" t="s">
        <v>40</v>
      </c>
      <c r="B770" s="9" t="s">
        <v>30</v>
      </c>
      <c r="C770" s="9">
        <v>0</v>
      </c>
      <c r="D770" s="9">
        <v>0</v>
      </c>
      <c r="E770" s="9">
        <v>12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9">
        <v>4</v>
      </c>
      <c r="U770" s="9">
        <v>0</v>
      </c>
      <c r="V770" s="9">
        <v>0</v>
      </c>
      <c r="W770" s="9">
        <v>0</v>
      </c>
      <c r="X770" s="9">
        <v>0</v>
      </c>
      <c r="Y770" s="9">
        <v>84</v>
      </c>
      <c r="Z770" s="9">
        <v>0</v>
      </c>
    </row>
    <row r="771" spans="1:26" x14ac:dyDescent="0.25">
      <c r="A771" s="9" t="s">
        <v>40</v>
      </c>
      <c r="B771" s="9" t="s">
        <v>30</v>
      </c>
      <c r="C771" s="9">
        <v>0</v>
      </c>
      <c r="D771" s="9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4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0</v>
      </c>
      <c r="R771" s="9">
        <v>0</v>
      </c>
      <c r="S771" s="9">
        <v>8</v>
      </c>
      <c r="T771" s="9">
        <v>12</v>
      </c>
      <c r="U771" s="9">
        <v>0</v>
      </c>
      <c r="V771" s="9">
        <v>0</v>
      </c>
      <c r="W771" s="9">
        <v>8</v>
      </c>
      <c r="X771" s="9">
        <v>4</v>
      </c>
      <c r="Y771" s="9">
        <v>64</v>
      </c>
      <c r="Z771" s="9">
        <v>0</v>
      </c>
    </row>
    <row r="772" spans="1:26" x14ac:dyDescent="0.25">
      <c r="A772" s="9" t="s">
        <v>40</v>
      </c>
      <c r="B772" s="9" t="s">
        <v>30</v>
      </c>
      <c r="C772" s="9">
        <v>0</v>
      </c>
      <c r="D772" s="9">
        <v>0</v>
      </c>
      <c r="E772" s="9">
        <v>0</v>
      </c>
      <c r="F772" s="9">
        <v>0</v>
      </c>
      <c r="G772" s="9">
        <v>24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20</v>
      </c>
      <c r="U772" s="9">
        <v>0</v>
      </c>
      <c r="V772" s="9">
        <v>0</v>
      </c>
      <c r="W772" s="9">
        <v>0</v>
      </c>
      <c r="X772" s="9">
        <v>4</v>
      </c>
      <c r="Y772" s="9">
        <v>48</v>
      </c>
      <c r="Z772" s="9">
        <v>4</v>
      </c>
    </row>
    <row r="773" spans="1:26" x14ac:dyDescent="0.25">
      <c r="A773" s="9" t="s">
        <v>40</v>
      </c>
      <c r="B773" s="9" t="s">
        <v>30</v>
      </c>
      <c r="C773" s="9">
        <v>0</v>
      </c>
      <c r="D773" s="9">
        <v>0</v>
      </c>
      <c r="E773" s="9">
        <v>0</v>
      </c>
      <c r="F773" s="9">
        <v>0</v>
      </c>
      <c r="G773" s="9">
        <v>12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9">
        <v>4</v>
      </c>
      <c r="T773" s="9">
        <v>20</v>
      </c>
      <c r="U773" s="9">
        <v>0</v>
      </c>
      <c r="V773" s="9">
        <v>0</v>
      </c>
      <c r="W773" s="9">
        <v>0</v>
      </c>
      <c r="X773" s="9">
        <v>0</v>
      </c>
      <c r="Y773" s="9">
        <v>64</v>
      </c>
      <c r="Z773" s="9">
        <v>0</v>
      </c>
    </row>
    <row r="774" spans="1:26" x14ac:dyDescent="0.25">
      <c r="A774" s="9" t="s">
        <v>40</v>
      </c>
      <c r="B774" s="9" t="s">
        <v>30</v>
      </c>
      <c r="C774" s="9">
        <v>0</v>
      </c>
      <c r="D774" s="9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0</v>
      </c>
      <c r="R774" s="9">
        <v>0</v>
      </c>
      <c r="S774" s="9">
        <v>0</v>
      </c>
      <c r="T774" s="9">
        <v>24</v>
      </c>
      <c r="U774" s="9">
        <v>0</v>
      </c>
      <c r="V774" s="9">
        <v>0</v>
      </c>
      <c r="W774" s="9">
        <v>0</v>
      </c>
      <c r="X774" s="9">
        <v>0</v>
      </c>
      <c r="Y774" s="9">
        <v>72</v>
      </c>
      <c r="Z774" s="9">
        <v>4</v>
      </c>
    </row>
    <row r="775" spans="1:26" x14ac:dyDescent="0.25">
      <c r="A775" s="9" t="s">
        <v>40</v>
      </c>
      <c r="B775" s="9" t="s">
        <v>30</v>
      </c>
      <c r="C775" s="9">
        <v>0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v>0</v>
      </c>
      <c r="R775" s="9">
        <v>0</v>
      </c>
      <c r="S775" s="9">
        <v>0</v>
      </c>
      <c r="T775" s="9">
        <v>52</v>
      </c>
      <c r="U775" s="9">
        <v>0</v>
      </c>
      <c r="V775" s="9">
        <v>0</v>
      </c>
      <c r="W775" s="9">
        <v>0</v>
      </c>
      <c r="X775" s="9">
        <v>0</v>
      </c>
      <c r="Y775" s="9">
        <v>44</v>
      </c>
      <c r="Z775" s="9">
        <v>4</v>
      </c>
    </row>
    <row r="776" spans="1:26" x14ac:dyDescent="0.25">
      <c r="A776" s="9" t="s">
        <v>40</v>
      </c>
      <c r="B776" s="9" t="s">
        <v>30</v>
      </c>
      <c r="C776" s="9">
        <v>0</v>
      </c>
      <c r="D776" s="9">
        <v>0</v>
      </c>
      <c r="E776" s="9">
        <v>0</v>
      </c>
      <c r="F776" s="9">
        <v>0</v>
      </c>
      <c r="G776" s="9">
        <v>8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9">
        <v>12</v>
      </c>
      <c r="U776" s="9">
        <v>0</v>
      </c>
      <c r="V776" s="9">
        <v>0</v>
      </c>
      <c r="W776" s="9">
        <v>4</v>
      </c>
      <c r="X776" s="9">
        <v>0</v>
      </c>
      <c r="Y776" s="9">
        <v>64</v>
      </c>
      <c r="Z776" s="9">
        <v>12</v>
      </c>
    </row>
    <row r="777" spans="1:26" x14ac:dyDescent="0.25">
      <c r="A777" s="9" t="s">
        <v>40</v>
      </c>
      <c r="B777" s="9" t="s">
        <v>30</v>
      </c>
      <c r="C777" s="9">
        <v>0</v>
      </c>
      <c r="D777" s="9">
        <v>0</v>
      </c>
      <c r="E777" s="9">
        <v>8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9">
        <v>4</v>
      </c>
      <c r="T777" s="9">
        <v>20</v>
      </c>
      <c r="U777" s="9">
        <v>0</v>
      </c>
      <c r="V777" s="9">
        <v>0</v>
      </c>
      <c r="W777" s="9">
        <v>0</v>
      </c>
      <c r="X777" s="9">
        <v>0</v>
      </c>
      <c r="Y777" s="9">
        <v>68</v>
      </c>
      <c r="Z777" s="9">
        <v>0</v>
      </c>
    </row>
    <row r="778" spans="1:26" x14ac:dyDescent="0.25">
      <c r="A778" s="9" t="s">
        <v>40</v>
      </c>
      <c r="B778" s="9" t="s">
        <v>30</v>
      </c>
      <c r="C778" s="9">
        <v>0</v>
      </c>
      <c r="D778" s="9">
        <v>0</v>
      </c>
      <c r="E778" s="9">
        <v>0</v>
      </c>
      <c r="F778" s="9">
        <v>0</v>
      </c>
      <c r="G778" s="9">
        <v>16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36</v>
      </c>
      <c r="U778" s="9">
        <v>0</v>
      </c>
      <c r="V778" s="9">
        <v>0</v>
      </c>
      <c r="W778" s="9">
        <v>0</v>
      </c>
      <c r="X778" s="9">
        <v>4</v>
      </c>
      <c r="Y778" s="9">
        <v>36</v>
      </c>
      <c r="Z778" s="9">
        <v>8</v>
      </c>
    </row>
    <row r="779" spans="1:26" x14ac:dyDescent="0.25">
      <c r="A779" s="9" t="s">
        <v>40</v>
      </c>
      <c r="B779" s="9" t="s">
        <v>30</v>
      </c>
      <c r="C779" s="9">
        <v>0</v>
      </c>
      <c r="D779" s="9">
        <v>0</v>
      </c>
      <c r="E779" s="9">
        <v>8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P779" s="9">
        <v>0</v>
      </c>
      <c r="Q779" s="9">
        <v>0</v>
      </c>
      <c r="R779" s="9">
        <v>0</v>
      </c>
      <c r="S779" s="9">
        <v>0</v>
      </c>
      <c r="T779" s="9">
        <v>12</v>
      </c>
      <c r="U779" s="9">
        <v>0</v>
      </c>
      <c r="V779" s="9">
        <v>0</v>
      </c>
      <c r="W779" s="9">
        <v>4</v>
      </c>
      <c r="X779" s="9">
        <v>0</v>
      </c>
      <c r="Y779" s="9">
        <v>64</v>
      </c>
      <c r="Z779" s="9">
        <v>12</v>
      </c>
    </row>
    <row r="780" spans="1:26" x14ac:dyDescent="0.25">
      <c r="A780" s="9" t="s">
        <v>40</v>
      </c>
      <c r="B780" s="9" t="s">
        <v>30</v>
      </c>
      <c r="C780" s="9">
        <v>0</v>
      </c>
      <c r="D780" s="9">
        <v>0</v>
      </c>
      <c r="E780" s="9">
        <v>12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 s="9">
        <v>16</v>
      </c>
      <c r="T780" s="9">
        <v>4</v>
      </c>
      <c r="U780" s="9">
        <v>0</v>
      </c>
      <c r="V780" s="9">
        <v>0</v>
      </c>
      <c r="W780" s="9">
        <v>4</v>
      </c>
      <c r="X780" s="9">
        <v>0</v>
      </c>
      <c r="Y780" s="9">
        <v>60</v>
      </c>
      <c r="Z780" s="9">
        <v>4</v>
      </c>
    </row>
    <row r="781" spans="1:26" x14ac:dyDescent="0.25">
      <c r="A781" s="9" t="s">
        <v>40</v>
      </c>
      <c r="B781" s="9" t="s">
        <v>30</v>
      </c>
      <c r="C781" s="9">
        <v>0</v>
      </c>
      <c r="D781" s="9">
        <v>0</v>
      </c>
      <c r="E781" s="9">
        <v>0</v>
      </c>
      <c r="F781" s="9">
        <v>20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P781" s="9">
        <v>0</v>
      </c>
      <c r="Q781" s="9">
        <v>0</v>
      </c>
      <c r="R781" s="9">
        <v>0</v>
      </c>
      <c r="S781" s="9">
        <v>16</v>
      </c>
      <c r="T781" s="9">
        <v>28</v>
      </c>
      <c r="U781" s="9">
        <v>0</v>
      </c>
      <c r="V781" s="9">
        <v>0</v>
      </c>
      <c r="W781" s="9">
        <v>0</v>
      </c>
      <c r="X781" s="9">
        <v>0</v>
      </c>
      <c r="Y781" s="9">
        <v>36</v>
      </c>
      <c r="Z781" s="9">
        <v>0</v>
      </c>
    </row>
    <row r="782" spans="1:26" x14ac:dyDescent="0.25">
      <c r="A782" s="9" t="s">
        <v>40</v>
      </c>
      <c r="B782" s="9" t="s">
        <v>31</v>
      </c>
      <c r="C782" s="9">
        <v>0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16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  <c r="W782" s="9">
        <v>4</v>
      </c>
      <c r="X782" s="9">
        <v>0</v>
      </c>
      <c r="Y782" s="9">
        <v>80</v>
      </c>
      <c r="Z782" s="9">
        <v>0</v>
      </c>
    </row>
    <row r="783" spans="1:26" x14ac:dyDescent="0.25">
      <c r="A783" s="9" t="s">
        <v>40</v>
      </c>
      <c r="B783" s="9" t="s">
        <v>31</v>
      </c>
      <c r="C783" s="9">
        <v>0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4</v>
      </c>
      <c r="R783" s="9">
        <v>0</v>
      </c>
      <c r="S783" s="9">
        <v>0</v>
      </c>
      <c r="T783" s="9">
        <v>28</v>
      </c>
      <c r="U783" s="9">
        <v>0</v>
      </c>
      <c r="V783" s="9">
        <v>0</v>
      </c>
      <c r="W783" s="9">
        <v>0</v>
      </c>
      <c r="X783" s="9">
        <v>0</v>
      </c>
      <c r="Y783" s="9">
        <v>68</v>
      </c>
      <c r="Z783" s="9">
        <v>0</v>
      </c>
    </row>
    <row r="784" spans="1:26" x14ac:dyDescent="0.25">
      <c r="A784" s="9" t="s">
        <v>40</v>
      </c>
      <c r="B784" s="9" t="s">
        <v>31</v>
      </c>
      <c r="C784" s="9">
        <v>0</v>
      </c>
      <c r="D784" s="9">
        <v>0</v>
      </c>
      <c r="E784" s="9">
        <v>0</v>
      </c>
      <c r="F784" s="9">
        <v>0</v>
      </c>
      <c r="G784" s="9">
        <v>4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v>4</v>
      </c>
      <c r="R784" s="9">
        <v>0</v>
      </c>
      <c r="S784" s="9">
        <v>0</v>
      </c>
      <c r="T784" s="9">
        <v>12</v>
      </c>
      <c r="U784" s="9">
        <v>0</v>
      </c>
      <c r="V784" s="9">
        <v>0</v>
      </c>
      <c r="W784" s="9">
        <v>0</v>
      </c>
      <c r="X784" s="9">
        <v>0</v>
      </c>
      <c r="Y784" s="9">
        <v>56</v>
      </c>
      <c r="Z784" s="9">
        <v>24</v>
      </c>
    </row>
    <row r="785" spans="1:26" x14ac:dyDescent="0.25">
      <c r="A785" s="9" t="s">
        <v>40</v>
      </c>
      <c r="B785" s="9" t="s">
        <v>31</v>
      </c>
      <c r="C785" s="9">
        <v>0</v>
      </c>
      <c r="D785" s="9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8</v>
      </c>
      <c r="R785" s="9">
        <v>0</v>
      </c>
      <c r="S785" s="9">
        <v>0</v>
      </c>
      <c r="T785" s="9">
        <v>32</v>
      </c>
      <c r="U785" s="9">
        <v>0</v>
      </c>
      <c r="V785" s="9">
        <v>0</v>
      </c>
      <c r="W785" s="9">
        <v>0</v>
      </c>
      <c r="X785" s="9">
        <v>0</v>
      </c>
      <c r="Y785" s="9">
        <v>60</v>
      </c>
      <c r="Z785" s="9">
        <v>0</v>
      </c>
    </row>
    <row r="786" spans="1:26" x14ac:dyDescent="0.25">
      <c r="A786" s="9" t="s">
        <v>40</v>
      </c>
      <c r="B786" s="9" t="s">
        <v>31</v>
      </c>
      <c r="C786" s="9">
        <v>0</v>
      </c>
      <c r="D786" s="9">
        <v>0</v>
      </c>
      <c r="E786" s="9">
        <v>0</v>
      </c>
      <c r="F786" s="9">
        <v>52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48</v>
      </c>
      <c r="Z786" s="9">
        <v>0</v>
      </c>
    </row>
    <row r="787" spans="1:26" x14ac:dyDescent="0.25">
      <c r="A787" s="9" t="s">
        <v>40</v>
      </c>
      <c r="B787" s="9" t="s">
        <v>31</v>
      </c>
      <c r="C787" s="9">
        <v>0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0</v>
      </c>
      <c r="S787" s="9">
        <v>4</v>
      </c>
      <c r="T787" s="9">
        <v>8</v>
      </c>
      <c r="U787" s="9">
        <v>0</v>
      </c>
      <c r="V787" s="9">
        <v>0</v>
      </c>
      <c r="W787" s="9">
        <v>0</v>
      </c>
      <c r="X787" s="9">
        <v>0</v>
      </c>
      <c r="Y787" s="9">
        <v>84</v>
      </c>
      <c r="Z787" s="9">
        <v>4</v>
      </c>
    </row>
    <row r="788" spans="1:26" x14ac:dyDescent="0.25">
      <c r="A788" s="9" t="s">
        <v>40</v>
      </c>
      <c r="B788" s="9" t="s">
        <v>31</v>
      </c>
      <c r="C788" s="9">
        <v>0</v>
      </c>
      <c r="D788" s="9">
        <v>0</v>
      </c>
      <c r="E788" s="9">
        <v>8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 s="9">
        <v>0</v>
      </c>
      <c r="T788" s="9">
        <v>4</v>
      </c>
      <c r="U788" s="9">
        <v>0</v>
      </c>
      <c r="V788" s="9">
        <v>0</v>
      </c>
      <c r="W788" s="9">
        <v>0</v>
      </c>
      <c r="X788" s="9">
        <v>0</v>
      </c>
      <c r="Y788" s="9">
        <v>88</v>
      </c>
      <c r="Z788" s="9">
        <v>0</v>
      </c>
    </row>
    <row r="789" spans="1:26" x14ac:dyDescent="0.25">
      <c r="A789" s="9" t="s">
        <v>40</v>
      </c>
      <c r="B789" s="9" t="s">
        <v>31</v>
      </c>
      <c r="C789" s="9">
        <v>0</v>
      </c>
      <c r="D789" s="9">
        <v>0</v>
      </c>
      <c r="E789" s="9">
        <v>0</v>
      </c>
      <c r="F789" s="9">
        <v>88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8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4</v>
      </c>
    </row>
    <row r="790" spans="1:26" x14ac:dyDescent="0.25">
      <c r="A790" s="9" t="s">
        <v>40</v>
      </c>
      <c r="B790" s="9" t="s">
        <v>31</v>
      </c>
      <c r="C790" s="9">
        <v>0</v>
      </c>
      <c r="D790" s="9">
        <v>0</v>
      </c>
      <c r="E790" s="9">
        <v>4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4</v>
      </c>
      <c r="U790" s="9">
        <v>0</v>
      </c>
      <c r="V790" s="9">
        <v>0</v>
      </c>
      <c r="W790" s="9">
        <v>0</v>
      </c>
      <c r="X790" s="9">
        <v>4</v>
      </c>
      <c r="Y790" s="9">
        <v>84</v>
      </c>
      <c r="Z790" s="9">
        <v>4</v>
      </c>
    </row>
    <row r="791" spans="1:26" x14ac:dyDescent="0.25">
      <c r="A791" s="9" t="s">
        <v>40</v>
      </c>
      <c r="B791" s="9" t="s">
        <v>31</v>
      </c>
      <c r="C791" s="9">
        <v>0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100</v>
      </c>
      <c r="Z791" s="9">
        <v>0</v>
      </c>
    </row>
    <row r="792" spans="1:26" x14ac:dyDescent="0.25">
      <c r="A792" s="9" t="s">
        <v>40</v>
      </c>
      <c r="B792" s="9" t="s">
        <v>31</v>
      </c>
      <c r="C792" s="9">
        <v>0</v>
      </c>
      <c r="D792" s="9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28</v>
      </c>
      <c r="U792" s="9">
        <v>0</v>
      </c>
      <c r="V792" s="9">
        <v>0</v>
      </c>
      <c r="W792" s="9">
        <v>4</v>
      </c>
      <c r="X792" s="9">
        <v>0</v>
      </c>
      <c r="Y792" s="9">
        <v>60</v>
      </c>
      <c r="Z792" s="9">
        <v>8</v>
      </c>
    </row>
    <row r="793" spans="1:26" x14ac:dyDescent="0.25">
      <c r="A793" s="9" t="s">
        <v>40</v>
      </c>
      <c r="B793" s="9" t="s">
        <v>31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4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 s="9">
        <v>0</v>
      </c>
      <c r="T793" s="9">
        <v>40</v>
      </c>
      <c r="U793" s="9">
        <v>0</v>
      </c>
      <c r="V793" s="9">
        <v>0</v>
      </c>
      <c r="W793" s="9">
        <v>0</v>
      </c>
      <c r="X793" s="9">
        <v>0</v>
      </c>
      <c r="Y793" s="9">
        <v>56</v>
      </c>
      <c r="Z793" s="9">
        <v>0</v>
      </c>
    </row>
    <row r="794" spans="1:26" x14ac:dyDescent="0.25">
      <c r="A794" s="9" t="s">
        <v>40</v>
      </c>
      <c r="B794" s="9" t="s">
        <v>31</v>
      </c>
      <c r="C794" s="9">
        <v>0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0</v>
      </c>
      <c r="S794" s="9">
        <v>0</v>
      </c>
      <c r="T794" s="9">
        <v>20</v>
      </c>
      <c r="U794" s="9">
        <v>0</v>
      </c>
      <c r="V794" s="9">
        <v>0</v>
      </c>
      <c r="W794" s="9">
        <v>4</v>
      </c>
      <c r="X794" s="9">
        <v>0</v>
      </c>
      <c r="Y794" s="9">
        <v>60</v>
      </c>
      <c r="Z794" s="9">
        <v>16</v>
      </c>
    </row>
    <row r="795" spans="1:26" x14ac:dyDescent="0.25">
      <c r="A795" s="9" t="s">
        <v>40</v>
      </c>
      <c r="B795" s="9" t="s">
        <v>31</v>
      </c>
      <c r="C795" s="9">
        <v>0</v>
      </c>
      <c r="D795" s="9">
        <v>0</v>
      </c>
      <c r="E795" s="9">
        <v>0</v>
      </c>
      <c r="F795" s="9">
        <v>4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8</v>
      </c>
      <c r="N795" s="9">
        <v>0</v>
      </c>
      <c r="O795" s="9">
        <v>0</v>
      </c>
      <c r="P795" s="9">
        <v>0</v>
      </c>
      <c r="Q795" s="9">
        <v>0</v>
      </c>
      <c r="R795" s="9">
        <v>0</v>
      </c>
      <c r="S795" s="9">
        <v>4</v>
      </c>
      <c r="T795" s="9">
        <v>0</v>
      </c>
      <c r="U795" s="9">
        <v>0</v>
      </c>
      <c r="V795" s="9">
        <v>0</v>
      </c>
      <c r="W795" s="9">
        <v>4</v>
      </c>
      <c r="X795" s="9">
        <v>0</v>
      </c>
      <c r="Y795" s="9">
        <v>80</v>
      </c>
      <c r="Z795" s="9">
        <v>0</v>
      </c>
    </row>
    <row r="796" spans="1:26" x14ac:dyDescent="0.25">
      <c r="A796" s="9" t="s">
        <v>40</v>
      </c>
      <c r="B796" s="9" t="s">
        <v>31</v>
      </c>
      <c r="C796" s="9">
        <v>0</v>
      </c>
      <c r="D796" s="9">
        <v>0</v>
      </c>
      <c r="E796" s="9">
        <v>8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v>4</v>
      </c>
      <c r="R796" s="9">
        <v>0</v>
      </c>
      <c r="S796" s="9">
        <v>0</v>
      </c>
      <c r="T796" s="9">
        <v>12</v>
      </c>
      <c r="U796" s="9">
        <v>0</v>
      </c>
      <c r="V796" s="9">
        <v>0</v>
      </c>
      <c r="W796" s="9">
        <v>0</v>
      </c>
      <c r="X796" s="9">
        <v>0</v>
      </c>
      <c r="Y796" s="9">
        <v>76</v>
      </c>
      <c r="Z796" s="9">
        <v>0</v>
      </c>
    </row>
    <row r="797" spans="1:26" x14ac:dyDescent="0.25">
      <c r="A797" s="9" t="s">
        <v>40</v>
      </c>
      <c r="B797" s="9" t="s">
        <v>32</v>
      </c>
      <c r="C797" s="9">
        <v>0</v>
      </c>
      <c r="D797" s="9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P797" s="9">
        <v>0</v>
      </c>
      <c r="Q797" s="9">
        <v>4</v>
      </c>
      <c r="R797" s="9">
        <v>0</v>
      </c>
      <c r="S797" s="9">
        <v>0</v>
      </c>
      <c r="T797" s="9">
        <v>24</v>
      </c>
      <c r="U797" s="9">
        <v>0</v>
      </c>
      <c r="V797" s="9">
        <v>0</v>
      </c>
      <c r="W797" s="9">
        <v>0</v>
      </c>
      <c r="X797" s="9">
        <v>0</v>
      </c>
      <c r="Y797" s="9">
        <v>56</v>
      </c>
      <c r="Z797" s="9">
        <v>16</v>
      </c>
    </row>
    <row r="798" spans="1:26" x14ac:dyDescent="0.25">
      <c r="A798" s="9" t="s">
        <v>40</v>
      </c>
      <c r="B798" s="9" t="s">
        <v>32</v>
      </c>
      <c r="C798" s="9">
        <v>0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P798" s="9">
        <v>0</v>
      </c>
      <c r="Q798" s="9">
        <v>0</v>
      </c>
      <c r="R798" s="9">
        <v>0</v>
      </c>
      <c r="S798" s="9">
        <v>0</v>
      </c>
      <c r="T798" s="9">
        <v>8</v>
      </c>
      <c r="U798" s="9">
        <v>0</v>
      </c>
      <c r="V798" s="9">
        <v>0</v>
      </c>
      <c r="W798" s="9">
        <v>0</v>
      </c>
      <c r="X798" s="9">
        <v>0</v>
      </c>
      <c r="Y798" s="9">
        <v>92</v>
      </c>
      <c r="Z798" s="9">
        <v>0</v>
      </c>
    </row>
    <row r="799" spans="1:26" x14ac:dyDescent="0.25">
      <c r="A799" s="9" t="s">
        <v>40</v>
      </c>
      <c r="B799" s="9" t="s">
        <v>32</v>
      </c>
      <c r="C799" s="9">
        <v>0</v>
      </c>
      <c r="D799" s="9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4</v>
      </c>
      <c r="K799" s="9">
        <v>0</v>
      </c>
      <c r="L799" s="9">
        <v>0</v>
      </c>
      <c r="M799" s="9">
        <v>0</v>
      </c>
      <c r="N799" s="9">
        <v>0</v>
      </c>
      <c r="O799" s="9">
        <v>0</v>
      </c>
      <c r="P799" s="9">
        <v>0</v>
      </c>
      <c r="Q799" s="9">
        <v>0</v>
      </c>
      <c r="R799" s="9">
        <v>0</v>
      </c>
      <c r="S799" s="9">
        <v>0</v>
      </c>
      <c r="T799" s="9">
        <v>4</v>
      </c>
      <c r="U799" s="9">
        <v>0</v>
      </c>
      <c r="V799" s="9">
        <v>0</v>
      </c>
      <c r="W799" s="9">
        <v>0</v>
      </c>
      <c r="X799" s="9">
        <v>0</v>
      </c>
      <c r="Y799" s="9">
        <v>88</v>
      </c>
      <c r="Z799" s="9">
        <v>4</v>
      </c>
    </row>
    <row r="800" spans="1:26" x14ac:dyDescent="0.25">
      <c r="A800" s="9" t="s">
        <v>40</v>
      </c>
      <c r="B800" s="9" t="s">
        <v>32</v>
      </c>
      <c r="C800" s="9">
        <v>0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  <c r="W800" s="9">
        <v>0</v>
      </c>
      <c r="X800" s="9">
        <v>0</v>
      </c>
      <c r="Y800" s="9">
        <v>92</v>
      </c>
      <c r="Z800" s="9">
        <v>8</v>
      </c>
    </row>
    <row r="801" spans="1:26" x14ac:dyDescent="0.25">
      <c r="A801" s="9" t="s">
        <v>40</v>
      </c>
      <c r="B801" s="9" t="s">
        <v>32</v>
      </c>
      <c r="C801" s="9">
        <v>0</v>
      </c>
      <c r="D801" s="9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v>4</v>
      </c>
      <c r="R801" s="9">
        <v>0</v>
      </c>
      <c r="S801" s="9">
        <v>0</v>
      </c>
      <c r="T801" s="9">
        <v>4</v>
      </c>
      <c r="U801" s="9">
        <v>0</v>
      </c>
      <c r="V801" s="9">
        <v>0</v>
      </c>
      <c r="W801" s="9">
        <v>4</v>
      </c>
      <c r="X801" s="9">
        <v>4</v>
      </c>
      <c r="Y801" s="9">
        <v>84</v>
      </c>
      <c r="Z801" s="9">
        <v>0</v>
      </c>
    </row>
    <row r="802" spans="1:26" x14ac:dyDescent="0.25">
      <c r="A802" s="9" t="s">
        <v>40</v>
      </c>
      <c r="B802" s="9" t="s">
        <v>32</v>
      </c>
      <c r="C802" s="9">
        <v>0</v>
      </c>
      <c r="D802" s="9">
        <v>0</v>
      </c>
      <c r="E802" s="9">
        <v>0</v>
      </c>
      <c r="F802" s="9">
        <v>0</v>
      </c>
      <c r="G802" s="9">
        <v>8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9">
        <v>0</v>
      </c>
      <c r="Q802" s="9">
        <v>0</v>
      </c>
      <c r="R802" s="9">
        <v>0</v>
      </c>
      <c r="S802" s="9">
        <v>0</v>
      </c>
      <c r="T802" s="9">
        <v>20</v>
      </c>
      <c r="U802" s="9">
        <v>0</v>
      </c>
      <c r="V802" s="9">
        <v>0</v>
      </c>
      <c r="W802" s="9">
        <v>0</v>
      </c>
      <c r="X802" s="9">
        <v>0</v>
      </c>
      <c r="Y802" s="9">
        <v>72</v>
      </c>
      <c r="Z802" s="9">
        <v>0</v>
      </c>
    </row>
    <row r="803" spans="1:26" x14ac:dyDescent="0.25">
      <c r="A803" s="9" t="s">
        <v>40</v>
      </c>
      <c r="B803" s="9" t="s">
        <v>32</v>
      </c>
      <c r="C803" s="9">
        <v>0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4</v>
      </c>
      <c r="T803" s="9">
        <v>40</v>
      </c>
      <c r="U803" s="9">
        <v>0</v>
      </c>
      <c r="V803" s="9">
        <v>0</v>
      </c>
      <c r="W803" s="9">
        <v>0</v>
      </c>
      <c r="X803" s="9">
        <v>0</v>
      </c>
      <c r="Y803" s="9">
        <v>56</v>
      </c>
      <c r="Z803" s="9">
        <v>0</v>
      </c>
    </row>
    <row r="804" spans="1:26" x14ac:dyDescent="0.25">
      <c r="A804" s="9" t="s">
        <v>40</v>
      </c>
      <c r="B804" s="9" t="s">
        <v>32</v>
      </c>
      <c r="C804" s="9">
        <v>0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36</v>
      </c>
      <c r="U804" s="9">
        <v>0</v>
      </c>
      <c r="V804" s="9">
        <v>0</v>
      </c>
      <c r="W804" s="9">
        <v>4</v>
      </c>
      <c r="X804" s="9">
        <v>0</v>
      </c>
      <c r="Y804" s="9">
        <v>52</v>
      </c>
      <c r="Z804" s="9">
        <v>8</v>
      </c>
    </row>
    <row r="805" spans="1:26" x14ac:dyDescent="0.25">
      <c r="A805" s="9" t="s">
        <v>40</v>
      </c>
      <c r="B805" s="9" t="s">
        <v>32</v>
      </c>
      <c r="C805" s="9">
        <v>0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24</v>
      </c>
      <c r="U805" s="9">
        <v>0</v>
      </c>
      <c r="V805" s="9">
        <v>0</v>
      </c>
      <c r="W805" s="9">
        <v>0</v>
      </c>
      <c r="X805" s="9">
        <v>0</v>
      </c>
      <c r="Y805" s="9">
        <v>76</v>
      </c>
      <c r="Z805" s="9">
        <v>0</v>
      </c>
    </row>
    <row r="806" spans="1:26" x14ac:dyDescent="0.25">
      <c r="A806" s="9" t="s">
        <v>40</v>
      </c>
      <c r="B806" s="9" t="s">
        <v>32</v>
      </c>
      <c r="C806" s="9">
        <v>0</v>
      </c>
      <c r="D806" s="9">
        <v>0</v>
      </c>
      <c r="E806" s="9">
        <v>0</v>
      </c>
      <c r="F806" s="9">
        <v>0</v>
      </c>
      <c r="G806" s="9">
        <v>4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 s="9">
        <v>16</v>
      </c>
      <c r="T806" s="9">
        <v>44</v>
      </c>
      <c r="U806" s="9">
        <v>0</v>
      </c>
      <c r="V806" s="9">
        <v>0</v>
      </c>
      <c r="W806" s="9">
        <v>0</v>
      </c>
      <c r="X806" s="9">
        <v>0</v>
      </c>
      <c r="Y806" s="9">
        <v>28</v>
      </c>
      <c r="Z806" s="9">
        <v>8</v>
      </c>
    </row>
    <row r="807" spans="1:26" x14ac:dyDescent="0.25">
      <c r="A807" s="9" t="s">
        <v>40</v>
      </c>
      <c r="B807" s="9" t="s">
        <v>32</v>
      </c>
      <c r="C807" s="9">
        <v>0</v>
      </c>
      <c r="D807" s="9">
        <v>0</v>
      </c>
      <c r="E807" s="9">
        <v>0</v>
      </c>
      <c r="F807" s="9">
        <v>0</v>
      </c>
      <c r="G807" s="9">
        <v>8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24</v>
      </c>
      <c r="U807" s="9">
        <v>0</v>
      </c>
      <c r="V807" s="9">
        <v>0</v>
      </c>
      <c r="W807" s="9">
        <v>4</v>
      </c>
      <c r="X807" s="9">
        <v>0</v>
      </c>
      <c r="Y807" s="9">
        <v>60</v>
      </c>
      <c r="Z807" s="9">
        <v>4</v>
      </c>
    </row>
    <row r="808" spans="1:26" x14ac:dyDescent="0.25">
      <c r="A808" s="9" t="s">
        <v>40</v>
      </c>
      <c r="B808" s="9" t="s">
        <v>32</v>
      </c>
      <c r="C808" s="9">
        <v>0</v>
      </c>
      <c r="D808" s="9">
        <v>0</v>
      </c>
      <c r="E808" s="9">
        <v>0</v>
      </c>
      <c r="F808" s="9">
        <v>4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4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8</v>
      </c>
      <c r="X808" s="9">
        <v>0</v>
      </c>
      <c r="Y808" s="9">
        <v>80</v>
      </c>
      <c r="Z808" s="9">
        <v>4</v>
      </c>
    </row>
    <row r="809" spans="1:26" x14ac:dyDescent="0.25">
      <c r="A809" s="9" t="s">
        <v>40</v>
      </c>
      <c r="B809" s="9" t="s">
        <v>32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  <c r="R809" s="9">
        <v>0</v>
      </c>
      <c r="S809" s="9">
        <v>0</v>
      </c>
      <c r="T809" s="9">
        <v>20</v>
      </c>
      <c r="U809" s="9">
        <v>0</v>
      </c>
      <c r="V809" s="9">
        <v>0</v>
      </c>
      <c r="W809" s="9">
        <v>0</v>
      </c>
      <c r="X809" s="9">
        <v>4</v>
      </c>
      <c r="Y809" s="9">
        <v>68</v>
      </c>
      <c r="Z809" s="9">
        <v>8</v>
      </c>
    </row>
    <row r="810" spans="1:26" x14ac:dyDescent="0.25">
      <c r="A810" s="9" t="s">
        <v>40</v>
      </c>
      <c r="B810" s="9" t="s">
        <v>32</v>
      </c>
      <c r="C810" s="9">
        <v>0</v>
      </c>
      <c r="D810" s="9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9">
        <v>0</v>
      </c>
      <c r="Q810" s="9">
        <v>0</v>
      </c>
      <c r="R810" s="9">
        <v>0</v>
      </c>
      <c r="S810" s="9">
        <v>16</v>
      </c>
      <c r="T810" s="9">
        <v>28</v>
      </c>
      <c r="U810" s="9">
        <v>0</v>
      </c>
      <c r="V810" s="9">
        <v>0</v>
      </c>
      <c r="W810" s="9">
        <v>0</v>
      </c>
      <c r="X810" s="9">
        <v>4</v>
      </c>
      <c r="Y810" s="9">
        <v>48</v>
      </c>
      <c r="Z810" s="9">
        <v>4</v>
      </c>
    </row>
    <row r="811" spans="1:26" x14ac:dyDescent="0.25">
      <c r="A811" s="9" t="s">
        <v>40</v>
      </c>
      <c r="B811" s="9" t="s">
        <v>32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 s="9">
        <v>4</v>
      </c>
      <c r="T811" s="9">
        <v>20</v>
      </c>
      <c r="U811" s="9">
        <v>0</v>
      </c>
      <c r="V811" s="9">
        <v>0</v>
      </c>
      <c r="W811" s="9">
        <v>4</v>
      </c>
      <c r="X811" s="9">
        <v>0</v>
      </c>
      <c r="Y811" s="9">
        <v>72</v>
      </c>
      <c r="Z811" s="9">
        <v>0</v>
      </c>
    </row>
    <row r="812" spans="1:26" x14ac:dyDescent="0.25">
      <c r="A812" s="9" t="s">
        <v>41</v>
      </c>
      <c r="B812" s="9" t="s">
        <v>27</v>
      </c>
      <c r="C812" s="9">
        <v>0</v>
      </c>
      <c r="D812" s="9">
        <v>0</v>
      </c>
      <c r="E812" s="9">
        <v>0</v>
      </c>
      <c r="F812" s="9">
        <v>4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4</v>
      </c>
      <c r="Q812" s="9">
        <v>4</v>
      </c>
      <c r="R812" s="9">
        <v>0</v>
      </c>
      <c r="S812" s="9">
        <v>0</v>
      </c>
      <c r="T812" s="9">
        <v>4</v>
      </c>
      <c r="U812" s="9">
        <v>0</v>
      </c>
      <c r="V812" s="9">
        <v>0</v>
      </c>
      <c r="W812" s="9">
        <v>8</v>
      </c>
      <c r="X812" s="9">
        <v>8</v>
      </c>
      <c r="Y812" s="9">
        <v>68</v>
      </c>
      <c r="Z812" s="9">
        <v>0</v>
      </c>
    </row>
    <row r="813" spans="1:26" x14ac:dyDescent="0.25">
      <c r="A813" s="9" t="s">
        <v>41</v>
      </c>
      <c r="B813" s="9" t="s">
        <v>27</v>
      </c>
      <c r="C813" s="9">
        <v>0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  <c r="W813" s="9">
        <v>4</v>
      </c>
      <c r="X813" s="9">
        <v>20</v>
      </c>
      <c r="Y813" s="9">
        <v>76</v>
      </c>
      <c r="Z813" s="9">
        <v>0</v>
      </c>
    </row>
    <row r="814" spans="1:26" x14ac:dyDescent="0.25">
      <c r="A814" s="9" t="s">
        <v>41</v>
      </c>
      <c r="B814" s="9" t="s">
        <v>27</v>
      </c>
      <c r="C814" s="9">
        <v>0</v>
      </c>
      <c r="D814" s="9">
        <v>0</v>
      </c>
      <c r="E814" s="9">
        <v>0</v>
      </c>
      <c r="F814" s="9">
        <v>12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12</v>
      </c>
      <c r="X814" s="9">
        <v>0</v>
      </c>
      <c r="Y814" s="9">
        <v>72</v>
      </c>
      <c r="Z814" s="9">
        <v>4</v>
      </c>
    </row>
    <row r="815" spans="1:26" x14ac:dyDescent="0.25">
      <c r="A815" s="9" t="s">
        <v>41</v>
      </c>
      <c r="B815" s="9" t="s">
        <v>27</v>
      </c>
      <c r="C815" s="9">
        <v>0</v>
      </c>
      <c r="D815" s="9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4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88</v>
      </c>
      <c r="Z815" s="9">
        <v>8</v>
      </c>
    </row>
    <row r="816" spans="1:26" x14ac:dyDescent="0.25">
      <c r="A816" s="9" t="s">
        <v>41</v>
      </c>
      <c r="B816" s="9" t="s">
        <v>27</v>
      </c>
      <c r="C816" s="9">
        <v>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4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20</v>
      </c>
      <c r="X816" s="9">
        <v>4</v>
      </c>
      <c r="Y816" s="9">
        <v>64</v>
      </c>
      <c r="Z816" s="9">
        <v>8</v>
      </c>
    </row>
    <row r="817" spans="1:26" x14ac:dyDescent="0.25">
      <c r="A817" s="9" t="s">
        <v>41</v>
      </c>
      <c r="B817" s="9" t="s">
        <v>27</v>
      </c>
      <c r="C817" s="9">
        <v>0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12</v>
      </c>
      <c r="X817" s="9">
        <v>0</v>
      </c>
      <c r="Y817" s="9">
        <v>88</v>
      </c>
      <c r="Z817" s="9">
        <v>0</v>
      </c>
    </row>
    <row r="818" spans="1:26" x14ac:dyDescent="0.25">
      <c r="A818" s="9" t="s">
        <v>41</v>
      </c>
      <c r="B818" s="9" t="s">
        <v>27</v>
      </c>
      <c r="C818" s="9">
        <v>0</v>
      </c>
      <c r="D818" s="9">
        <v>0</v>
      </c>
      <c r="E818" s="9">
        <v>0</v>
      </c>
      <c r="F818" s="9">
        <v>4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8</v>
      </c>
      <c r="M818" s="9">
        <v>4</v>
      </c>
      <c r="N818" s="9">
        <v>4</v>
      </c>
      <c r="O818" s="9">
        <v>0</v>
      </c>
      <c r="P818" s="9">
        <v>0</v>
      </c>
      <c r="Q818" s="9">
        <v>4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  <c r="W818" s="9">
        <v>4</v>
      </c>
      <c r="X818" s="9">
        <v>0</v>
      </c>
      <c r="Y818" s="9">
        <v>72</v>
      </c>
      <c r="Z818" s="9">
        <v>0</v>
      </c>
    </row>
    <row r="819" spans="1:26" x14ac:dyDescent="0.25">
      <c r="A819" s="9" t="s">
        <v>41</v>
      </c>
      <c r="B819" s="9" t="s">
        <v>27</v>
      </c>
      <c r="C819" s="9">
        <v>0</v>
      </c>
      <c r="D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4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4</v>
      </c>
      <c r="X819" s="9">
        <v>0</v>
      </c>
      <c r="Y819" s="9">
        <v>92</v>
      </c>
      <c r="Z819" s="9">
        <v>0</v>
      </c>
    </row>
    <row r="820" spans="1:26" x14ac:dyDescent="0.25">
      <c r="A820" s="9" t="s">
        <v>41</v>
      </c>
      <c r="B820" s="9" t="s">
        <v>27</v>
      </c>
      <c r="C820" s="9">
        <v>0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12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8</v>
      </c>
      <c r="X820" s="9">
        <v>12</v>
      </c>
      <c r="Y820" s="9">
        <v>68</v>
      </c>
      <c r="Z820" s="9">
        <v>0</v>
      </c>
    </row>
    <row r="821" spans="1:26" x14ac:dyDescent="0.25">
      <c r="A821" s="9" t="s">
        <v>41</v>
      </c>
      <c r="B821" s="9" t="s">
        <v>27</v>
      </c>
      <c r="C821" s="9">
        <v>0</v>
      </c>
      <c r="D821" s="9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8</v>
      </c>
      <c r="X821" s="9">
        <v>12</v>
      </c>
      <c r="Y821" s="9">
        <v>76</v>
      </c>
      <c r="Z821" s="9">
        <v>4</v>
      </c>
    </row>
    <row r="822" spans="1:26" x14ac:dyDescent="0.25">
      <c r="A822" s="9" t="s">
        <v>41</v>
      </c>
      <c r="B822" s="9" t="s">
        <v>27</v>
      </c>
      <c r="C822" s="9">
        <v>0</v>
      </c>
      <c r="D822" s="9">
        <v>0</v>
      </c>
      <c r="E822" s="9">
        <v>0</v>
      </c>
      <c r="F822" s="9">
        <v>4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4</v>
      </c>
      <c r="O822" s="9">
        <v>0</v>
      </c>
      <c r="P822" s="9">
        <v>0</v>
      </c>
      <c r="Q822" s="9">
        <v>4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  <c r="W822" s="9">
        <v>16</v>
      </c>
      <c r="X822" s="9">
        <v>8</v>
      </c>
      <c r="Y822" s="9">
        <v>64</v>
      </c>
      <c r="Z822" s="9">
        <v>0</v>
      </c>
    </row>
    <row r="823" spans="1:26" x14ac:dyDescent="0.25">
      <c r="A823" s="9" t="s">
        <v>41</v>
      </c>
      <c r="B823" s="9" t="s">
        <v>27</v>
      </c>
      <c r="C823" s="9">
        <v>0</v>
      </c>
      <c r="D823" s="9">
        <v>0</v>
      </c>
      <c r="E823" s="9">
        <v>0</v>
      </c>
      <c r="F823" s="9">
        <v>4</v>
      </c>
      <c r="G823" s="9">
        <v>0</v>
      </c>
      <c r="H823" s="9">
        <v>0</v>
      </c>
      <c r="I823" s="9">
        <v>4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4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20</v>
      </c>
      <c r="X823" s="9">
        <v>4</v>
      </c>
      <c r="Y823" s="9">
        <v>64</v>
      </c>
      <c r="Z823" s="9">
        <v>0</v>
      </c>
    </row>
    <row r="824" spans="1:26" x14ac:dyDescent="0.25">
      <c r="A824" s="9" t="s">
        <v>41</v>
      </c>
      <c r="B824" s="9" t="s">
        <v>27</v>
      </c>
      <c r="C824" s="9">
        <v>0</v>
      </c>
      <c r="D824" s="9">
        <v>0</v>
      </c>
      <c r="E824" s="9">
        <v>0</v>
      </c>
      <c r="F824" s="9">
        <v>4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4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9">
        <v>24</v>
      </c>
      <c r="X824" s="9">
        <v>4</v>
      </c>
      <c r="Y824" s="9">
        <v>64</v>
      </c>
      <c r="Z824" s="9">
        <v>0</v>
      </c>
    </row>
    <row r="825" spans="1:26" x14ac:dyDescent="0.25">
      <c r="A825" s="9" t="s">
        <v>41</v>
      </c>
      <c r="B825" s="9" t="s">
        <v>27</v>
      </c>
      <c r="C825" s="9">
        <v>0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4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4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8</v>
      </c>
      <c r="X825" s="9">
        <v>0</v>
      </c>
      <c r="Y825" s="9">
        <v>80</v>
      </c>
      <c r="Z825" s="9">
        <v>4</v>
      </c>
    </row>
    <row r="826" spans="1:26" x14ac:dyDescent="0.25">
      <c r="A826" s="9" t="s">
        <v>41</v>
      </c>
      <c r="B826" s="9" t="s">
        <v>27</v>
      </c>
      <c r="C826" s="9">
        <v>0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24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0</v>
      </c>
      <c r="Y826" s="9">
        <v>76</v>
      </c>
      <c r="Z826" s="9">
        <v>0</v>
      </c>
    </row>
    <row r="827" spans="1:26" x14ac:dyDescent="0.25">
      <c r="A827" s="9" t="s">
        <v>41</v>
      </c>
      <c r="B827" s="9" t="s">
        <v>28</v>
      </c>
      <c r="C827" s="9">
        <v>0</v>
      </c>
      <c r="D827" s="9">
        <v>0</v>
      </c>
      <c r="E827" s="9">
        <v>0</v>
      </c>
      <c r="F827" s="9">
        <v>4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4</v>
      </c>
      <c r="O827" s="9">
        <v>0</v>
      </c>
      <c r="P827" s="9">
        <v>0</v>
      </c>
      <c r="Q827" s="9">
        <v>4</v>
      </c>
      <c r="R827" s="9">
        <v>0</v>
      </c>
      <c r="S827" s="9">
        <v>0</v>
      </c>
      <c r="T827" s="9">
        <v>4</v>
      </c>
      <c r="U827" s="9">
        <v>0</v>
      </c>
      <c r="V827" s="9">
        <v>0</v>
      </c>
      <c r="W827" s="9">
        <v>0</v>
      </c>
      <c r="X827" s="9">
        <v>8</v>
      </c>
      <c r="Y827" s="9">
        <v>76</v>
      </c>
      <c r="Z827" s="9">
        <v>0</v>
      </c>
    </row>
    <row r="828" spans="1:26" x14ac:dyDescent="0.25">
      <c r="A828" s="9" t="s">
        <v>41</v>
      </c>
      <c r="B828" s="9" t="s">
        <v>28</v>
      </c>
      <c r="C828" s="9">
        <v>0</v>
      </c>
      <c r="D828" s="9">
        <v>0</v>
      </c>
      <c r="E828" s="9">
        <v>0</v>
      </c>
      <c r="F828" s="9">
        <v>12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4</v>
      </c>
      <c r="X828" s="9">
        <v>4</v>
      </c>
      <c r="Y828" s="9">
        <v>80</v>
      </c>
      <c r="Z828" s="9">
        <v>0</v>
      </c>
    </row>
    <row r="829" spans="1:26" x14ac:dyDescent="0.25">
      <c r="A829" s="9" t="s">
        <v>41</v>
      </c>
      <c r="B829" s="9" t="s">
        <v>28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4</v>
      </c>
      <c r="I829" s="9">
        <v>0</v>
      </c>
      <c r="J829" s="9">
        <v>0</v>
      </c>
      <c r="K829" s="9">
        <v>8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4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  <c r="W829" s="9">
        <v>4</v>
      </c>
      <c r="X829" s="9">
        <v>0</v>
      </c>
      <c r="Y829" s="9">
        <v>80</v>
      </c>
      <c r="Z829" s="9">
        <v>0</v>
      </c>
    </row>
    <row r="830" spans="1:26" x14ac:dyDescent="0.25">
      <c r="A830" s="9" t="s">
        <v>41</v>
      </c>
      <c r="B830" s="9" t="s">
        <v>28</v>
      </c>
      <c r="C830" s="9">
        <v>0</v>
      </c>
      <c r="D830" s="9">
        <v>0</v>
      </c>
      <c r="E830" s="9">
        <v>0</v>
      </c>
      <c r="F830" s="9">
        <v>0</v>
      </c>
      <c r="G830" s="9">
        <v>0</v>
      </c>
      <c r="H830" s="9">
        <v>4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12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84</v>
      </c>
      <c r="Z830" s="9">
        <v>0</v>
      </c>
    </row>
    <row r="831" spans="1:26" x14ac:dyDescent="0.25">
      <c r="A831" s="9" t="s">
        <v>41</v>
      </c>
      <c r="B831" s="9" t="s">
        <v>28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8</v>
      </c>
      <c r="O831" s="9">
        <v>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8</v>
      </c>
      <c r="Y831" s="9">
        <v>84</v>
      </c>
      <c r="Z831" s="9">
        <v>0</v>
      </c>
    </row>
    <row r="832" spans="1:26" x14ac:dyDescent="0.25">
      <c r="A832" s="9" t="s">
        <v>41</v>
      </c>
      <c r="B832" s="9" t="s">
        <v>28</v>
      </c>
      <c r="C832" s="9">
        <v>0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16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4</v>
      </c>
      <c r="X832" s="9">
        <v>4</v>
      </c>
      <c r="Y832" s="9">
        <v>76</v>
      </c>
      <c r="Z832" s="9">
        <v>0</v>
      </c>
    </row>
    <row r="833" spans="1:26" x14ac:dyDescent="0.25">
      <c r="A833" s="9" t="s">
        <v>41</v>
      </c>
      <c r="B833" s="9" t="s">
        <v>28</v>
      </c>
      <c r="C833" s="9">
        <v>0</v>
      </c>
      <c r="D833" s="9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16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4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8</v>
      </c>
      <c r="Y833" s="9">
        <v>68</v>
      </c>
      <c r="Z833" s="9">
        <v>4</v>
      </c>
    </row>
    <row r="834" spans="1:26" x14ac:dyDescent="0.25">
      <c r="A834" s="9" t="s">
        <v>41</v>
      </c>
      <c r="B834" s="9" t="s">
        <v>28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8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4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4</v>
      </c>
      <c r="X834" s="9">
        <v>0</v>
      </c>
      <c r="Y834" s="9">
        <v>80</v>
      </c>
      <c r="Z834" s="9">
        <v>4</v>
      </c>
    </row>
    <row r="835" spans="1:26" x14ac:dyDescent="0.25">
      <c r="A835" s="9" t="s">
        <v>41</v>
      </c>
      <c r="B835" s="9" t="s">
        <v>28</v>
      </c>
      <c r="C835" s="9">
        <v>0</v>
      </c>
      <c r="D835" s="9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4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  <c r="W835" s="9">
        <v>4</v>
      </c>
      <c r="X835" s="9">
        <v>4</v>
      </c>
      <c r="Y835" s="9">
        <v>80</v>
      </c>
      <c r="Z835" s="9">
        <v>8</v>
      </c>
    </row>
    <row r="836" spans="1:26" x14ac:dyDescent="0.25">
      <c r="A836" s="9" t="s">
        <v>41</v>
      </c>
      <c r="B836" s="9" t="s">
        <v>28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8</v>
      </c>
      <c r="L836" s="9">
        <v>0</v>
      </c>
      <c r="M836" s="9">
        <v>0</v>
      </c>
      <c r="N836" s="9">
        <v>0</v>
      </c>
      <c r="O836" s="9">
        <v>0</v>
      </c>
      <c r="P836" s="9">
        <v>0</v>
      </c>
      <c r="Q836" s="9">
        <v>4</v>
      </c>
      <c r="R836" s="9">
        <v>0</v>
      </c>
      <c r="S836" s="9">
        <v>0</v>
      </c>
      <c r="T836" s="9">
        <v>4</v>
      </c>
      <c r="U836" s="9">
        <v>0</v>
      </c>
      <c r="V836" s="9">
        <v>0</v>
      </c>
      <c r="W836" s="9">
        <v>4</v>
      </c>
      <c r="X836" s="9">
        <v>0</v>
      </c>
      <c r="Y836" s="9">
        <v>68</v>
      </c>
      <c r="Z836" s="9">
        <v>12</v>
      </c>
    </row>
    <row r="837" spans="1:26" x14ac:dyDescent="0.25">
      <c r="A837" s="9" t="s">
        <v>41</v>
      </c>
      <c r="B837" s="9" t="s">
        <v>28</v>
      </c>
      <c r="C837" s="9">
        <v>0</v>
      </c>
      <c r="D837" s="9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  <c r="R837" s="9">
        <v>0</v>
      </c>
      <c r="S837" s="9">
        <v>0</v>
      </c>
      <c r="T837" s="9">
        <v>12</v>
      </c>
      <c r="U837" s="9">
        <v>0</v>
      </c>
      <c r="V837" s="9">
        <v>0</v>
      </c>
      <c r="W837" s="9">
        <v>4</v>
      </c>
      <c r="X837" s="9">
        <v>0</v>
      </c>
      <c r="Y837" s="9">
        <v>84</v>
      </c>
      <c r="Z837" s="9">
        <v>0</v>
      </c>
    </row>
    <row r="838" spans="1:26" x14ac:dyDescent="0.25">
      <c r="A838" s="9" t="s">
        <v>41</v>
      </c>
      <c r="B838" s="9" t="s">
        <v>28</v>
      </c>
      <c r="C838" s="9">
        <v>0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12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4</v>
      </c>
      <c r="R838" s="9">
        <v>0</v>
      </c>
      <c r="S838" s="9">
        <v>0</v>
      </c>
      <c r="T838" s="9">
        <v>4</v>
      </c>
      <c r="U838" s="9">
        <v>0</v>
      </c>
      <c r="V838" s="9">
        <v>0</v>
      </c>
      <c r="W838" s="9">
        <v>24</v>
      </c>
      <c r="X838" s="9">
        <v>12</v>
      </c>
      <c r="Y838" s="9">
        <v>40</v>
      </c>
      <c r="Z838" s="9">
        <v>4</v>
      </c>
    </row>
    <row r="839" spans="1:26" x14ac:dyDescent="0.25">
      <c r="A839" s="9" t="s">
        <v>41</v>
      </c>
      <c r="B839" s="9" t="s">
        <v>28</v>
      </c>
      <c r="C839" s="9">
        <v>0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56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44</v>
      </c>
      <c r="Z839" s="9">
        <v>0</v>
      </c>
    </row>
    <row r="840" spans="1:26" x14ac:dyDescent="0.25">
      <c r="A840" s="9" t="s">
        <v>41</v>
      </c>
      <c r="B840" s="9" t="s">
        <v>28</v>
      </c>
      <c r="C840" s="9">
        <v>0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4</v>
      </c>
      <c r="J840" s="9">
        <v>0</v>
      </c>
      <c r="K840" s="9">
        <v>40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4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9">
        <v>4</v>
      </c>
      <c r="X840" s="9">
        <v>0</v>
      </c>
      <c r="Y840" s="9">
        <v>44</v>
      </c>
      <c r="Z840" s="9">
        <v>4</v>
      </c>
    </row>
    <row r="841" spans="1:26" x14ac:dyDescent="0.25">
      <c r="A841" s="9" t="s">
        <v>41</v>
      </c>
      <c r="B841" s="9" t="s">
        <v>28</v>
      </c>
      <c r="C841" s="9">
        <v>0</v>
      </c>
      <c r="D841" s="9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 s="9">
        <v>0</v>
      </c>
      <c r="T841" s="9">
        <v>4</v>
      </c>
      <c r="U841" s="9">
        <v>0</v>
      </c>
      <c r="V841" s="9">
        <v>0</v>
      </c>
      <c r="W841" s="9">
        <v>20</v>
      </c>
      <c r="X841" s="9">
        <v>0</v>
      </c>
      <c r="Y841" s="9">
        <v>68</v>
      </c>
      <c r="Z841" s="9">
        <v>8</v>
      </c>
    </row>
    <row r="842" spans="1:26" x14ac:dyDescent="0.25">
      <c r="A842" s="9" t="s">
        <v>41</v>
      </c>
      <c r="B842" s="9" t="s">
        <v>28</v>
      </c>
      <c r="C842" s="9">
        <v>0</v>
      </c>
      <c r="D842" s="9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4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 s="9">
        <v>0</v>
      </c>
      <c r="T842" s="9">
        <v>4</v>
      </c>
      <c r="U842" s="9">
        <v>0</v>
      </c>
      <c r="V842" s="9">
        <v>0</v>
      </c>
      <c r="W842" s="9">
        <v>4</v>
      </c>
      <c r="X842" s="9">
        <v>0</v>
      </c>
      <c r="Y842" s="9">
        <v>80</v>
      </c>
      <c r="Z842" s="9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3C22-F5B4-4FA7-B3E2-8BD48AAB3A8E}">
  <dimension ref="A1:AA1122"/>
  <sheetViews>
    <sheetView workbookViewId="0">
      <selection activeCell="B2" sqref="B2:B16"/>
    </sheetView>
  </sheetViews>
  <sheetFormatPr defaultColWidth="11.09765625" defaultRowHeight="13.8" x14ac:dyDescent="0.25"/>
  <cols>
    <col min="1" max="16384" width="11.09765625" style="9"/>
  </cols>
  <sheetData>
    <row r="1" spans="1:27" x14ac:dyDescent="0.25">
      <c r="A1" s="9" t="s">
        <v>0</v>
      </c>
      <c r="B1" s="9" t="s">
        <v>1</v>
      </c>
      <c r="C1" s="9" t="s">
        <v>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</row>
    <row r="2" spans="1:27" x14ac:dyDescent="0.25">
      <c r="A2" s="9" t="s">
        <v>26</v>
      </c>
      <c r="B2" s="9" t="s">
        <v>27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4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8</v>
      </c>
      <c r="Z2" s="9">
        <v>88</v>
      </c>
      <c r="AA2" s="9">
        <v>0</v>
      </c>
    </row>
    <row r="3" spans="1:27" x14ac:dyDescent="0.25">
      <c r="A3" s="9" t="s">
        <v>26</v>
      </c>
      <c r="B3" s="9" t="s">
        <v>27</v>
      </c>
      <c r="D3" s="9">
        <v>0</v>
      </c>
      <c r="E3" s="9">
        <v>0</v>
      </c>
      <c r="F3" s="9">
        <v>20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8</v>
      </c>
      <c r="O3" s="9">
        <v>0</v>
      </c>
      <c r="P3" s="9">
        <v>0</v>
      </c>
      <c r="Q3" s="9">
        <v>0</v>
      </c>
      <c r="R3" s="9">
        <v>4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16</v>
      </c>
      <c r="Y3" s="9">
        <v>0</v>
      </c>
      <c r="Z3" s="9">
        <v>52</v>
      </c>
      <c r="AA3" s="9">
        <v>0</v>
      </c>
    </row>
    <row r="4" spans="1:27" x14ac:dyDescent="0.25">
      <c r="A4" s="9" t="s">
        <v>26</v>
      </c>
      <c r="B4" s="9" t="s">
        <v>27</v>
      </c>
      <c r="D4" s="9">
        <v>0</v>
      </c>
      <c r="E4" s="9">
        <v>0</v>
      </c>
      <c r="F4" s="9">
        <v>32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4</v>
      </c>
      <c r="P4" s="9">
        <v>0</v>
      </c>
      <c r="Q4" s="9">
        <v>0</v>
      </c>
      <c r="R4" s="9">
        <v>4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4</v>
      </c>
      <c r="Y4" s="9">
        <v>8</v>
      </c>
      <c r="Z4" s="9">
        <v>48</v>
      </c>
      <c r="AA4" s="9">
        <v>0</v>
      </c>
    </row>
    <row r="5" spans="1:27" x14ac:dyDescent="0.25">
      <c r="A5" s="9" t="s">
        <v>26</v>
      </c>
      <c r="B5" s="9" t="s">
        <v>27</v>
      </c>
      <c r="D5" s="9">
        <v>0</v>
      </c>
      <c r="E5" s="9">
        <v>0</v>
      </c>
      <c r="F5" s="9">
        <v>12</v>
      </c>
      <c r="G5" s="9">
        <v>0</v>
      </c>
      <c r="H5" s="9">
        <v>0</v>
      </c>
      <c r="I5" s="9">
        <v>0</v>
      </c>
      <c r="J5" s="9">
        <v>0</v>
      </c>
      <c r="K5" s="9">
        <v>4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28</v>
      </c>
      <c r="Y5" s="9">
        <v>4</v>
      </c>
      <c r="Z5" s="9">
        <v>52</v>
      </c>
      <c r="AA5" s="9">
        <v>0</v>
      </c>
    </row>
    <row r="6" spans="1:27" x14ac:dyDescent="0.25">
      <c r="A6" s="9" t="s">
        <v>26</v>
      </c>
      <c r="B6" s="9" t="s">
        <v>27</v>
      </c>
      <c r="D6" s="9">
        <v>0</v>
      </c>
      <c r="E6" s="9">
        <v>0</v>
      </c>
      <c r="F6" s="9">
        <v>28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4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20</v>
      </c>
      <c r="Y6" s="9">
        <v>8</v>
      </c>
      <c r="Z6" s="9">
        <v>40</v>
      </c>
      <c r="AA6" s="9">
        <v>0</v>
      </c>
    </row>
    <row r="7" spans="1:27" x14ac:dyDescent="0.25">
      <c r="A7" s="9" t="s">
        <v>26</v>
      </c>
      <c r="B7" s="9" t="s">
        <v>27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4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4</v>
      </c>
      <c r="V7" s="9">
        <v>0</v>
      </c>
      <c r="W7" s="9">
        <v>0</v>
      </c>
      <c r="X7" s="9">
        <v>24</v>
      </c>
      <c r="Y7" s="9">
        <v>4</v>
      </c>
      <c r="Z7" s="9">
        <v>64</v>
      </c>
      <c r="AA7" s="9">
        <v>0</v>
      </c>
    </row>
    <row r="8" spans="1:27" x14ac:dyDescent="0.25">
      <c r="A8" s="9" t="s">
        <v>26</v>
      </c>
      <c r="B8" s="9" t="s">
        <v>27</v>
      </c>
      <c r="D8" s="9">
        <v>0</v>
      </c>
      <c r="E8" s="9">
        <v>0</v>
      </c>
      <c r="F8" s="9">
        <v>16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24</v>
      </c>
      <c r="Y8" s="9">
        <v>0</v>
      </c>
      <c r="Z8" s="9">
        <v>56</v>
      </c>
      <c r="AA8" s="9">
        <v>4</v>
      </c>
    </row>
    <row r="9" spans="1:27" x14ac:dyDescent="0.25">
      <c r="A9" s="9" t="s">
        <v>26</v>
      </c>
      <c r="B9" s="9" t="s">
        <v>27</v>
      </c>
      <c r="D9" s="9">
        <v>0</v>
      </c>
      <c r="E9" s="9">
        <v>0</v>
      </c>
      <c r="F9" s="9">
        <v>20</v>
      </c>
      <c r="G9" s="9">
        <v>0</v>
      </c>
      <c r="H9" s="9">
        <v>0</v>
      </c>
      <c r="I9" s="9">
        <v>0</v>
      </c>
      <c r="J9" s="9">
        <v>0</v>
      </c>
      <c r="K9" s="9">
        <v>4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48</v>
      </c>
      <c r="Y9" s="9">
        <v>8</v>
      </c>
      <c r="Z9" s="9">
        <v>16</v>
      </c>
      <c r="AA9" s="9">
        <v>4</v>
      </c>
    </row>
    <row r="10" spans="1:27" x14ac:dyDescent="0.25">
      <c r="A10" s="9" t="s">
        <v>26</v>
      </c>
      <c r="B10" s="9" t="s">
        <v>27</v>
      </c>
      <c r="D10" s="9">
        <v>0</v>
      </c>
      <c r="E10" s="9">
        <v>0</v>
      </c>
      <c r="F10" s="9">
        <v>8</v>
      </c>
      <c r="G10" s="9">
        <v>0</v>
      </c>
      <c r="H10" s="9">
        <v>0</v>
      </c>
      <c r="I10" s="9">
        <v>0</v>
      </c>
      <c r="J10" s="9">
        <v>0</v>
      </c>
      <c r="K10" s="9">
        <v>4</v>
      </c>
      <c r="L10" s="9">
        <v>0</v>
      </c>
      <c r="M10" s="9">
        <v>0</v>
      </c>
      <c r="N10" s="9">
        <v>4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60</v>
      </c>
      <c r="Y10" s="9">
        <v>4</v>
      </c>
      <c r="Z10" s="9">
        <v>20</v>
      </c>
      <c r="AA10" s="9">
        <v>0</v>
      </c>
    </row>
    <row r="11" spans="1:27" x14ac:dyDescent="0.25">
      <c r="A11" s="9" t="s">
        <v>26</v>
      </c>
      <c r="B11" s="9" t="s">
        <v>27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32</v>
      </c>
      <c r="N11" s="9">
        <v>0</v>
      </c>
      <c r="O11" s="9">
        <v>0</v>
      </c>
      <c r="P11" s="9">
        <v>0</v>
      </c>
      <c r="Q11" s="9">
        <v>4</v>
      </c>
      <c r="R11" s="9">
        <v>0</v>
      </c>
      <c r="S11" s="9">
        <v>0</v>
      </c>
      <c r="T11" s="9">
        <v>0</v>
      </c>
      <c r="U11" s="9">
        <v>8</v>
      </c>
      <c r="V11" s="9">
        <v>0</v>
      </c>
      <c r="W11" s="9">
        <v>0</v>
      </c>
      <c r="X11" s="9">
        <v>8</v>
      </c>
      <c r="Y11" s="9">
        <v>20</v>
      </c>
      <c r="Z11" s="9">
        <v>28</v>
      </c>
      <c r="AA11" s="9">
        <v>0</v>
      </c>
    </row>
    <row r="12" spans="1:27" x14ac:dyDescent="0.25">
      <c r="A12" s="9" t="s">
        <v>26</v>
      </c>
      <c r="B12" s="9" t="s">
        <v>27</v>
      </c>
      <c r="D12" s="9">
        <v>0</v>
      </c>
      <c r="E12" s="9">
        <v>0</v>
      </c>
      <c r="F12" s="9">
        <v>24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4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12</v>
      </c>
      <c r="Y12" s="9">
        <v>8</v>
      </c>
      <c r="Z12" s="9">
        <v>48</v>
      </c>
      <c r="AA12" s="9">
        <v>4</v>
      </c>
    </row>
    <row r="13" spans="1:27" x14ac:dyDescent="0.25">
      <c r="A13" s="9" t="s">
        <v>26</v>
      </c>
      <c r="B13" s="9" t="s">
        <v>27</v>
      </c>
      <c r="D13" s="9">
        <v>0</v>
      </c>
      <c r="E13" s="9">
        <v>0</v>
      </c>
      <c r="F13" s="9">
        <v>16</v>
      </c>
      <c r="G13" s="9">
        <v>0</v>
      </c>
      <c r="H13" s="9">
        <v>0</v>
      </c>
      <c r="I13" s="9">
        <v>0</v>
      </c>
      <c r="J13" s="9">
        <v>0</v>
      </c>
      <c r="K13" s="9">
        <v>4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8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44</v>
      </c>
      <c r="Y13" s="9">
        <v>8</v>
      </c>
      <c r="Z13" s="9">
        <v>20</v>
      </c>
      <c r="AA13" s="9">
        <v>0</v>
      </c>
    </row>
    <row r="14" spans="1:27" x14ac:dyDescent="0.25">
      <c r="A14" s="9" t="s">
        <v>26</v>
      </c>
      <c r="B14" s="9" t="s">
        <v>27</v>
      </c>
      <c r="D14" s="9">
        <v>0</v>
      </c>
      <c r="E14" s="9">
        <v>0</v>
      </c>
      <c r="F14" s="9">
        <v>16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4</v>
      </c>
      <c r="P14" s="9">
        <v>0</v>
      </c>
      <c r="Q14" s="9">
        <v>0</v>
      </c>
      <c r="R14" s="9">
        <v>8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8</v>
      </c>
      <c r="Y14" s="9">
        <v>4</v>
      </c>
      <c r="Z14" s="9">
        <v>60</v>
      </c>
      <c r="AA14" s="9">
        <v>0</v>
      </c>
    </row>
    <row r="15" spans="1:27" x14ac:dyDescent="0.25">
      <c r="A15" s="9" t="s">
        <v>26</v>
      </c>
      <c r="B15" s="9" t="s">
        <v>27</v>
      </c>
      <c r="D15" s="9">
        <v>0</v>
      </c>
      <c r="E15" s="9">
        <v>0</v>
      </c>
      <c r="F15" s="9">
        <v>4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12</v>
      </c>
      <c r="O15" s="9">
        <v>0</v>
      </c>
      <c r="P15" s="9">
        <v>0</v>
      </c>
      <c r="Q15" s="9">
        <v>0</v>
      </c>
      <c r="R15" s="9">
        <v>4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48</v>
      </c>
      <c r="Y15" s="9">
        <v>0</v>
      </c>
      <c r="Z15" s="9">
        <v>32</v>
      </c>
      <c r="AA15" s="9">
        <v>0</v>
      </c>
    </row>
    <row r="16" spans="1:27" x14ac:dyDescent="0.25">
      <c r="A16" s="9" t="s">
        <v>26</v>
      </c>
      <c r="B16" s="9" t="s">
        <v>27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4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4</v>
      </c>
      <c r="Y16" s="9">
        <v>8</v>
      </c>
      <c r="Z16" s="9">
        <v>84</v>
      </c>
      <c r="AA16" s="9">
        <v>0</v>
      </c>
    </row>
    <row r="17" spans="1:27" s="10" customFormat="1" x14ac:dyDescent="0.25">
      <c r="A17" s="10" t="s">
        <v>26</v>
      </c>
      <c r="B17" s="10" t="s">
        <v>27</v>
      </c>
      <c r="C17" s="10" t="s">
        <v>84</v>
      </c>
      <c r="D17" s="10">
        <v>0</v>
      </c>
      <c r="E17" s="10">
        <v>0</v>
      </c>
      <c r="F17" s="10">
        <v>13.0666666666667</v>
      </c>
      <c r="G17" s="10">
        <v>0</v>
      </c>
      <c r="H17" s="10">
        <v>0</v>
      </c>
      <c r="I17" s="10">
        <v>0</v>
      </c>
      <c r="J17" s="10">
        <v>0</v>
      </c>
      <c r="K17" s="10">
        <v>1.06666666666667</v>
      </c>
      <c r="L17" s="10">
        <v>0</v>
      </c>
      <c r="M17" s="10">
        <v>2.1333333333333302</v>
      </c>
      <c r="N17" s="10">
        <v>2.1333333333333302</v>
      </c>
      <c r="O17" s="10">
        <v>0.8</v>
      </c>
      <c r="P17" s="10">
        <v>0</v>
      </c>
      <c r="Q17" s="10">
        <v>0.266666666666667</v>
      </c>
      <c r="R17" s="10">
        <v>2.4</v>
      </c>
      <c r="S17" s="10">
        <v>0</v>
      </c>
      <c r="T17" s="10">
        <v>0</v>
      </c>
      <c r="U17" s="10">
        <v>0.8</v>
      </c>
      <c r="V17" s="10">
        <v>0</v>
      </c>
      <c r="W17" s="10">
        <v>0</v>
      </c>
      <c r="X17" s="10">
        <v>23.2</v>
      </c>
      <c r="Y17" s="10">
        <v>6.1333333333333302</v>
      </c>
      <c r="Z17" s="10">
        <v>47.2</v>
      </c>
      <c r="AA17" s="10">
        <v>0.8</v>
      </c>
    </row>
    <row r="18" spans="1:27" s="10" customFormat="1" x14ac:dyDescent="0.25">
      <c r="A18" s="10" t="s">
        <v>26</v>
      </c>
      <c r="B18" s="10" t="s">
        <v>27</v>
      </c>
      <c r="C18" s="10" t="s">
        <v>83</v>
      </c>
      <c r="D18" s="10">
        <v>0</v>
      </c>
      <c r="E18" s="10">
        <v>0</v>
      </c>
      <c r="F18" s="10">
        <v>10.7402225746202</v>
      </c>
      <c r="G18" s="10">
        <v>0</v>
      </c>
      <c r="H18" s="10">
        <v>0</v>
      </c>
      <c r="I18" s="10">
        <v>0</v>
      </c>
      <c r="J18" s="10">
        <v>0</v>
      </c>
      <c r="K18" s="10">
        <v>1.83095083286825</v>
      </c>
      <c r="L18" s="10">
        <v>0</v>
      </c>
      <c r="M18" s="10">
        <v>8.2623644719091605</v>
      </c>
      <c r="N18" s="10">
        <v>3.6619016657365102</v>
      </c>
      <c r="O18" s="10">
        <v>1.65615734242165</v>
      </c>
      <c r="P18" s="10">
        <v>0</v>
      </c>
      <c r="Q18" s="10">
        <v>1.03279555898864</v>
      </c>
      <c r="R18" s="10">
        <v>2.9471535904520301</v>
      </c>
      <c r="S18" s="10">
        <v>0</v>
      </c>
      <c r="T18" s="10">
        <v>0</v>
      </c>
      <c r="U18" s="10">
        <v>2.2424476423255499</v>
      </c>
      <c r="V18" s="10">
        <v>0</v>
      </c>
      <c r="W18" s="10">
        <v>0</v>
      </c>
      <c r="X18" s="10">
        <v>18.834618582356701</v>
      </c>
      <c r="Y18" s="10">
        <v>4.9837832254317798</v>
      </c>
      <c r="Z18" s="10">
        <v>21.8671312378059</v>
      </c>
      <c r="AA18" s="10">
        <v>1.65615734242165</v>
      </c>
    </row>
    <row r="19" spans="1:27" s="10" customFormat="1" x14ac:dyDescent="0.25">
      <c r="A19" s="10" t="s">
        <v>26</v>
      </c>
      <c r="B19" s="10" t="s">
        <v>27</v>
      </c>
      <c r="C19" s="10" t="s">
        <v>82</v>
      </c>
      <c r="D19" s="10">
        <v>0</v>
      </c>
      <c r="E19" s="10">
        <v>0</v>
      </c>
      <c r="F19" s="10">
        <v>16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20</v>
      </c>
      <c r="Y19" s="10">
        <v>8</v>
      </c>
      <c r="Z19" s="10">
        <v>48</v>
      </c>
      <c r="AA19" s="10">
        <v>0</v>
      </c>
    </row>
    <row r="20" spans="1:27" s="10" customFormat="1" x14ac:dyDescent="0.25">
      <c r="A20" s="10" t="s">
        <v>26</v>
      </c>
      <c r="B20" s="10" t="s">
        <v>27</v>
      </c>
      <c r="C20" s="10" t="s">
        <v>81</v>
      </c>
      <c r="D20" s="10">
        <v>0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8</v>
      </c>
      <c r="Y20" s="10">
        <v>4</v>
      </c>
      <c r="Z20" s="10">
        <v>30</v>
      </c>
      <c r="AA20" s="10">
        <v>0</v>
      </c>
    </row>
    <row r="21" spans="1:27" s="10" customFormat="1" x14ac:dyDescent="0.25">
      <c r="A21" s="10" t="s">
        <v>26</v>
      </c>
      <c r="B21" s="10" t="s">
        <v>27</v>
      </c>
      <c r="C21" s="10" t="s">
        <v>80</v>
      </c>
      <c r="D21" s="10">
        <v>0</v>
      </c>
      <c r="E21" s="10">
        <v>0</v>
      </c>
      <c r="F21" s="10">
        <v>20</v>
      </c>
      <c r="G21" s="10">
        <v>0</v>
      </c>
      <c r="H21" s="10">
        <v>0</v>
      </c>
      <c r="I21" s="10">
        <v>0</v>
      </c>
      <c r="J21" s="10">
        <v>0</v>
      </c>
      <c r="K21" s="10">
        <v>2</v>
      </c>
      <c r="L21" s="10">
        <v>0</v>
      </c>
      <c r="M21" s="10">
        <v>0</v>
      </c>
      <c r="N21" s="10">
        <v>4</v>
      </c>
      <c r="O21" s="10">
        <v>0</v>
      </c>
      <c r="P21" s="10">
        <v>0</v>
      </c>
      <c r="Q21" s="10">
        <v>0</v>
      </c>
      <c r="R21" s="10">
        <v>4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36</v>
      </c>
      <c r="Y21" s="10">
        <v>8</v>
      </c>
      <c r="Z21" s="10">
        <v>58</v>
      </c>
      <c r="AA21" s="10">
        <v>0</v>
      </c>
    </row>
    <row r="22" spans="1:27" x14ac:dyDescent="0.25">
      <c r="A22" s="9" t="s">
        <v>26</v>
      </c>
      <c r="B22" s="9" t="s">
        <v>28</v>
      </c>
      <c r="D22" s="9">
        <v>0</v>
      </c>
      <c r="E22" s="9">
        <v>0</v>
      </c>
      <c r="F22" s="9">
        <v>0</v>
      </c>
      <c r="G22" s="9">
        <v>8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8</v>
      </c>
      <c r="Y22" s="9">
        <v>0</v>
      </c>
      <c r="Z22" s="9">
        <v>84</v>
      </c>
      <c r="AA22" s="9">
        <v>0</v>
      </c>
    </row>
    <row r="23" spans="1:27" x14ac:dyDescent="0.25">
      <c r="A23" s="9" t="s">
        <v>26</v>
      </c>
      <c r="B23" s="9" t="s">
        <v>28</v>
      </c>
      <c r="D23" s="9">
        <v>0</v>
      </c>
      <c r="E23" s="9">
        <v>0</v>
      </c>
      <c r="F23" s="9">
        <v>24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8</v>
      </c>
      <c r="Y23" s="9">
        <v>4</v>
      </c>
      <c r="Z23" s="9">
        <v>60</v>
      </c>
      <c r="AA23" s="9">
        <v>4</v>
      </c>
    </row>
    <row r="24" spans="1:27" x14ac:dyDescent="0.25">
      <c r="A24" s="9" t="s">
        <v>26</v>
      </c>
      <c r="B24" s="9" t="s">
        <v>28</v>
      </c>
      <c r="D24" s="9">
        <v>0</v>
      </c>
      <c r="E24" s="9">
        <v>0</v>
      </c>
      <c r="F24" s="9">
        <v>20</v>
      </c>
      <c r="G24" s="9">
        <v>0</v>
      </c>
      <c r="H24" s="9">
        <v>0</v>
      </c>
      <c r="I24" s="9">
        <v>0</v>
      </c>
      <c r="J24" s="9">
        <v>0</v>
      </c>
      <c r="K24" s="9">
        <v>4</v>
      </c>
      <c r="L24" s="9">
        <v>0</v>
      </c>
      <c r="M24" s="9">
        <v>0</v>
      </c>
      <c r="N24" s="9">
        <v>0</v>
      </c>
      <c r="O24" s="9">
        <v>4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44</v>
      </c>
      <c r="Y24" s="9">
        <v>0</v>
      </c>
      <c r="Z24" s="9">
        <v>16</v>
      </c>
      <c r="AA24" s="9">
        <v>12</v>
      </c>
    </row>
    <row r="25" spans="1:27" x14ac:dyDescent="0.25">
      <c r="A25" s="9" t="s">
        <v>26</v>
      </c>
      <c r="B25" s="9" t="s">
        <v>28</v>
      </c>
      <c r="D25" s="9">
        <v>0</v>
      </c>
      <c r="E25" s="9">
        <v>0</v>
      </c>
      <c r="F25" s="9">
        <v>24</v>
      </c>
      <c r="G25" s="9">
        <v>0</v>
      </c>
      <c r="H25" s="9">
        <v>0</v>
      </c>
      <c r="I25" s="9">
        <v>0</v>
      </c>
      <c r="J25" s="9">
        <v>0</v>
      </c>
      <c r="K25" s="9">
        <v>4</v>
      </c>
      <c r="L25" s="9">
        <v>0</v>
      </c>
      <c r="M25" s="9">
        <v>0</v>
      </c>
      <c r="N25" s="9">
        <v>12</v>
      </c>
      <c r="O25" s="9">
        <v>0</v>
      </c>
      <c r="P25" s="9">
        <v>0</v>
      </c>
      <c r="Q25" s="9">
        <v>0</v>
      </c>
      <c r="R25" s="9">
        <v>4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40</v>
      </c>
      <c r="Y25" s="9">
        <v>0</v>
      </c>
      <c r="Z25" s="9">
        <v>8</v>
      </c>
      <c r="AA25" s="9">
        <v>8</v>
      </c>
    </row>
    <row r="26" spans="1:27" x14ac:dyDescent="0.25">
      <c r="A26" s="9" t="s">
        <v>26</v>
      </c>
      <c r="B26" s="9" t="s">
        <v>28</v>
      </c>
      <c r="D26" s="9">
        <v>0</v>
      </c>
      <c r="E26" s="9">
        <v>0</v>
      </c>
      <c r="F26" s="9">
        <v>28</v>
      </c>
      <c r="G26" s="9">
        <v>0</v>
      </c>
      <c r="H26" s="9">
        <v>0</v>
      </c>
      <c r="I26" s="9">
        <v>0</v>
      </c>
      <c r="J26" s="9">
        <v>0</v>
      </c>
      <c r="K26" s="9">
        <v>8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40</v>
      </c>
      <c r="Y26" s="9">
        <v>0</v>
      </c>
      <c r="Z26" s="9">
        <v>24</v>
      </c>
      <c r="AA26" s="9">
        <v>0</v>
      </c>
    </row>
    <row r="27" spans="1:27" x14ac:dyDescent="0.25">
      <c r="A27" s="9" t="s">
        <v>26</v>
      </c>
      <c r="B27" s="9" t="s">
        <v>28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4</v>
      </c>
      <c r="V27" s="9">
        <v>4</v>
      </c>
      <c r="W27" s="9">
        <v>0</v>
      </c>
      <c r="X27" s="9">
        <v>28</v>
      </c>
      <c r="Y27" s="9">
        <v>4</v>
      </c>
      <c r="Z27" s="9">
        <v>60</v>
      </c>
      <c r="AA27" s="9">
        <v>0</v>
      </c>
    </row>
    <row r="28" spans="1:27" x14ac:dyDescent="0.25">
      <c r="A28" s="9" t="s">
        <v>26</v>
      </c>
      <c r="B28" s="9" t="s">
        <v>28</v>
      </c>
      <c r="D28" s="9">
        <v>0</v>
      </c>
      <c r="E28" s="9">
        <v>0</v>
      </c>
      <c r="F28" s="9">
        <v>24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32</v>
      </c>
      <c r="Y28" s="9">
        <v>0</v>
      </c>
      <c r="Z28" s="9">
        <v>40</v>
      </c>
      <c r="AA28" s="9">
        <v>4</v>
      </c>
    </row>
    <row r="29" spans="1:27" x14ac:dyDescent="0.25">
      <c r="A29" s="9" t="s">
        <v>26</v>
      </c>
      <c r="B29" s="9" t="s">
        <v>28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4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4</v>
      </c>
      <c r="W29" s="9">
        <v>0</v>
      </c>
      <c r="X29" s="9">
        <v>16</v>
      </c>
      <c r="Y29" s="9">
        <v>8</v>
      </c>
      <c r="Z29" s="9">
        <v>68</v>
      </c>
      <c r="AA29" s="9">
        <v>0</v>
      </c>
    </row>
    <row r="30" spans="1:27" x14ac:dyDescent="0.25">
      <c r="A30" s="9" t="s">
        <v>26</v>
      </c>
      <c r="B30" s="9" t="s">
        <v>28</v>
      </c>
      <c r="D30" s="9">
        <v>0</v>
      </c>
      <c r="E30" s="9">
        <v>0</v>
      </c>
      <c r="F30" s="9">
        <v>24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8</v>
      </c>
      <c r="Y30" s="9">
        <v>0</v>
      </c>
      <c r="Z30" s="9">
        <v>64</v>
      </c>
      <c r="AA30" s="9">
        <v>4</v>
      </c>
    </row>
    <row r="31" spans="1:27" x14ac:dyDescent="0.25">
      <c r="A31" s="9" t="s">
        <v>26</v>
      </c>
      <c r="B31" s="9" t="s">
        <v>28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4</v>
      </c>
      <c r="N31" s="9">
        <v>0</v>
      </c>
      <c r="O31" s="9">
        <v>0</v>
      </c>
      <c r="P31" s="9">
        <v>0</v>
      </c>
      <c r="Q31" s="9">
        <v>4</v>
      </c>
      <c r="R31" s="9">
        <v>4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44</v>
      </c>
      <c r="Y31" s="9">
        <v>28</v>
      </c>
      <c r="Z31" s="9">
        <v>16</v>
      </c>
      <c r="AA31" s="9">
        <v>0</v>
      </c>
    </row>
    <row r="32" spans="1:27" x14ac:dyDescent="0.25">
      <c r="A32" s="9" t="s">
        <v>26</v>
      </c>
      <c r="B32" s="9" t="s">
        <v>28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8</v>
      </c>
      <c r="N32" s="9">
        <v>0</v>
      </c>
      <c r="O32" s="9">
        <v>0</v>
      </c>
      <c r="P32" s="9">
        <v>0</v>
      </c>
      <c r="Q32" s="9">
        <v>0</v>
      </c>
      <c r="R32" s="9">
        <v>8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12</v>
      </c>
      <c r="Y32" s="9">
        <v>24</v>
      </c>
      <c r="Z32" s="9">
        <v>48</v>
      </c>
      <c r="AA32" s="9">
        <v>0</v>
      </c>
    </row>
    <row r="33" spans="1:27" x14ac:dyDescent="0.25">
      <c r="A33" s="9" t="s">
        <v>26</v>
      </c>
      <c r="B33" s="9" t="s">
        <v>28</v>
      </c>
      <c r="D33" s="9">
        <v>0</v>
      </c>
      <c r="E33" s="9">
        <v>0</v>
      </c>
      <c r="F33" s="9">
        <v>44</v>
      </c>
      <c r="G33" s="9">
        <v>0</v>
      </c>
      <c r="H33" s="9">
        <v>0</v>
      </c>
      <c r="I33" s="9">
        <v>0</v>
      </c>
      <c r="J33" s="9">
        <v>0</v>
      </c>
      <c r="K33" s="9">
        <v>8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44</v>
      </c>
      <c r="Y33" s="9">
        <v>0</v>
      </c>
      <c r="Z33" s="9">
        <v>0</v>
      </c>
      <c r="AA33" s="9">
        <v>4</v>
      </c>
    </row>
    <row r="34" spans="1:27" x14ac:dyDescent="0.25">
      <c r="A34" s="9" t="s">
        <v>26</v>
      </c>
      <c r="B34" s="9" t="s">
        <v>28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72</v>
      </c>
      <c r="Y34" s="9">
        <v>8</v>
      </c>
      <c r="Z34" s="9">
        <v>20</v>
      </c>
      <c r="AA34" s="9">
        <v>0</v>
      </c>
    </row>
    <row r="35" spans="1:27" x14ac:dyDescent="0.25">
      <c r="A35" s="9" t="s">
        <v>26</v>
      </c>
      <c r="B35" s="9" t="s">
        <v>28</v>
      </c>
      <c r="D35" s="9">
        <v>0</v>
      </c>
      <c r="E35" s="9">
        <v>0</v>
      </c>
      <c r="F35" s="9">
        <v>24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4</v>
      </c>
      <c r="N35" s="9">
        <v>4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8</v>
      </c>
      <c r="Y35" s="9">
        <v>4</v>
      </c>
      <c r="Z35" s="9">
        <v>52</v>
      </c>
      <c r="AA35" s="9">
        <v>4</v>
      </c>
    </row>
    <row r="36" spans="1:27" x14ac:dyDescent="0.25">
      <c r="A36" s="9" t="s">
        <v>26</v>
      </c>
      <c r="B36" s="9" t="s">
        <v>28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4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72</v>
      </c>
      <c r="Y36" s="9">
        <v>8</v>
      </c>
      <c r="Z36" s="9">
        <v>12</v>
      </c>
      <c r="AA36" s="9">
        <v>4</v>
      </c>
    </row>
    <row r="37" spans="1:27" s="10" customFormat="1" x14ac:dyDescent="0.25">
      <c r="A37" s="10" t="s">
        <v>26</v>
      </c>
      <c r="B37" s="10" t="s">
        <v>28</v>
      </c>
      <c r="C37" s="10" t="s">
        <v>84</v>
      </c>
      <c r="D37" s="10">
        <v>0</v>
      </c>
      <c r="E37" s="10">
        <v>0</v>
      </c>
      <c r="F37" s="10">
        <v>14.133333333333301</v>
      </c>
      <c r="G37" s="10">
        <v>0.53333333333333299</v>
      </c>
      <c r="H37" s="10">
        <v>0</v>
      </c>
      <c r="I37" s="10">
        <v>0</v>
      </c>
      <c r="J37" s="10">
        <v>0.266666666666667</v>
      </c>
      <c r="K37" s="10">
        <v>1.6</v>
      </c>
      <c r="L37" s="10">
        <v>0</v>
      </c>
      <c r="M37" s="10">
        <v>1.06666666666667</v>
      </c>
      <c r="N37" s="10">
        <v>1.06666666666667</v>
      </c>
      <c r="O37" s="10">
        <v>0.266666666666667</v>
      </c>
      <c r="P37" s="10">
        <v>0</v>
      </c>
      <c r="Q37" s="10">
        <v>0.53333333333333299</v>
      </c>
      <c r="R37" s="10">
        <v>1.06666666666667</v>
      </c>
      <c r="S37" s="10">
        <v>0</v>
      </c>
      <c r="T37" s="10">
        <v>0</v>
      </c>
      <c r="U37" s="10">
        <v>0.266666666666667</v>
      </c>
      <c r="V37" s="10">
        <v>0.53333333333333299</v>
      </c>
      <c r="W37" s="10">
        <v>0</v>
      </c>
      <c r="X37" s="10">
        <v>31.733333333333299</v>
      </c>
      <c r="Y37" s="10">
        <v>5.8666666666666698</v>
      </c>
      <c r="Z37" s="10">
        <v>38.133333333333297</v>
      </c>
      <c r="AA37" s="10">
        <v>2.93333333333333</v>
      </c>
    </row>
    <row r="38" spans="1:27" s="10" customFormat="1" x14ac:dyDescent="0.25">
      <c r="A38" s="10" t="s">
        <v>26</v>
      </c>
      <c r="B38" s="10" t="s">
        <v>28</v>
      </c>
      <c r="C38" s="10" t="s">
        <v>83</v>
      </c>
      <c r="D38" s="10">
        <v>0</v>
      </c>
      <c r="E38" s="10">
        <v>0</v>
      </c>
      <c r="F38" s="10">
        <v>14.647606662946</v>
      </c>
      <c r="G38" s="10">
        <v>2.0655911179772901</v>
      </c>
      <c r="H38" s="10">
        <v>0</v>
      </c>
      <c r="I38" s="10">
        <v>0</v>
      </c>
      <c r="J38" s="10">
        <v>1.03279555898864</v>
      </c>
      <c r="K38" s="10">
        <v>2.9471535904520301</v>
      </c>
      <c r="L38" s="10">
        <v>0</v>
      </c>
      <c r="M38" s="10">
        <v>2.37446735881865</v>
      </c>
      <c r="N38" s="10">
        <v>3.1952345468719199</v>
      </c>
      <c r="O38" s="10">
        <v>1.03279555898864</v>
      </c>
      <c r="P38" s="10">
        <v>0</v>
      </c>
      <c r="Q38" s="10">
        <v>1.4074631010979901</v>
      </c>
      <c r="R38" s="10">
        <v>2.37446735881865</v>
      </c>
      <c r="S38" s="10">
        <v>0</v>
      </c>
      <c r="T38" s="10">
        <v>0</v>
      </c>
      <c r="U38" s="10">
        <v>1.03279555898864</v>
      </c>
      <c r="V38" s="10">
        <v>1.4074631010979901</v>
      </c>
      <c r="W38" s="10">
        <v>0</v>
      </c>
      <c r="X38" s="10">
        <v>21.933232015976699</v>
      </c>
      <c r="Y38" s="10">
        <v>8.7982682278687001</v>
      </c>
      <c r="Z38" s="10">
        <v>26.005127699487801</v>
      </c>
      <c r="AA38" s="10">
        <v>3.53486040675415</v>
      </c>
    </row>
    <row r="39" spans="1:27" s="10" customFormat="1" x14ac:dyDescent="0.25">
      <c r="A39" s="10" t="s">
        <v>26</v>
      </c>
      <c r="B39" s="10" t="s">
        <v>28</v>
      </c>
      <c r="C39" s="10" t="s">
        <v>82</v>
      </c>
      <c r="D39" s="10">
        <v>0</v>
      </c>
      <c r="E39" s="10">
        <v>0</v>
      </c>
      <c r="F39" s="10">
        <v>20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32</v>
      </c>
      <c r="Y39" s="10">
        <v>4</v>
      </c>
      <c r="Z39" s="10">
        <v>40</v>
      </c>
      <c r="AA39" s="10">
        <v>4</v>
      </c>
    </row>
    <row r="40" spans="1:27" s="10" customFormat="1" x14ac:dyDescent="0.25">
      <c r="A40" s="10" t="s">
        <v>26</v>
      </c>
      <c r="B40" s="10" t="s">
        <v>28</v>
      </c>
      <c r="C40" s="10" t="s">
        <v>81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10</v>
      </c>
      <c r="Y40" s="10">
        <v>0</v>
      </c>
      <c r="Z40" s="10">
        <v>16</v>
      </c>
      <c r="AA40" s="10">
        <v>0</v>
      </c>
    </row>
    <row r="41" spans="1:27" s="10" customFormat="1" x14ac:dyDescent="0.25">
      <c r="A41" s="10" t="s">
        <v>26</v>
      </c>
      <c r="B41" s="10" t="s">
        <v>28</v>
      </c>
      <c r="C41" s="10" t="s">
        <v>80</v>
      </c>
      <c r="D41" s="10">
        <v>0</v>
      </c>
      <c r="E41" s="10">
        <v>0</v>
      </c>
      <c r="F41" s="10">
        <v>24</v>
      </c>
      <c r="G41" s="10">
        <v>0</v>
      </c>
      <c r="H41" s="10">
        <v>0</v>
      </c>
      <c r="I41" s="10">
        <v>0</v>
      </c>
      <c r="J41" s="10">
        <v>0</v>
      </c>
      <c r="K41" s="10">
        <v>2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44</v>
      </c>
      <c r="Y41" s="10">
        <v>8</v>
      </c>
      <c r="Z41" s="10">
        <v>60</v>
      </c>
      <c r="AA41" s="10">
        <v>4</v>
      </c>
    </row>
    <row r="42" spans="1:27" x14ac:dyDescent="0.25">
      <c r="A42" s="9" t="s">
        <v>26</v>
      </c>
      <c r="B42" s="9" t="s">
        <v>29</v>
      </c>
      <c r="D42" s="9">
        <v>0</v>
      </c>
      <c r="E42" s="9">
        <v>0</v>
      </c>
      <c r="F42" s="9">
        <v>32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4</v>
      </c>
      <c r="N42" s="9">
        <v>0</v>
      </c>
      <c r="O42" s="9">
        <v>0</v>
      </c>
      <c r="P42" s="9">
        <v>0</v>
      </c>
      <c r="Q42" s="9">
        <v>0</v>
      </c>
      <c r="R42" s="9">
        <v>4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8</v>
      </c>
      <c r="Y42" s="9">
        <v>4</v>
      </c>
      <c r="Z42" s="9">
        <v>40</v>
      </c>
      <c r="AA42" s="9">
        <v>8</v>
      </c>
    </row>
    <row r="43" spans="1:27" x14ac:dyDescent="0.25">
      <c r="A43" s="9" t="s">
        <v>26</v>
      </c>
      <c r="B43" s="9" t="s">
        <v>29</v>
      </c>
      <c r="D43" s="9">
        <v>0</v>
      </c>
      <c r="E43" s="9">
        <v>0</v>
      </c>
      <c r="F43" s="9">
        <v>20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28</v>
      </c>
      <c r="Y43" s="9">
        <v>8</v>
      </c>
      <c r="Z43" s="9">
        <v>44</v>
      </c>
      <c r="AA43" s="9">
        <v>0</v>
      </c>
    </row>
    <row r="44" spans="1:27" x14ac:dyDescent="0.25">
      <c r="A44" s="9" t="s">
        <v>26</v>
      </c>
      <c r="B44" s="9" t="s">
        <v>29</v>
      </c>
      <c r="D44" s="9">
        <v>0</v>
      </c>
      <c r="E44" s="9">
        <v>0</v>
      </c>
      <c r="F44" s="9">
        <v>20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4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16</v>
      </c>
      <c r="Y44" s="9">
        <v>8</v>
      </c>
      <c r="Z44" s="9">
        <v>52</v>
      </c>
      <c r="AA44" s="9">
        <v>0</v>
      </c>
    </row>
    <row r="45" spans="1:27" x14ac:dyDescent="0.25">
      <c r="A45" s="9" t="s">
        <v>26</v>
      </c>
      <c r="B45" s="9" t="s">
        <v>29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4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28</v>
      </c>
      <c r="Y45" s="9">
        <v>0</v>
      </c>
      <c r="Z45" s="9">
        <v>68</v>
      </c>
      <c r="AA45" s="9">
        <v>0</v>
      </c>
    </row>
    <row r="46" spans="1:27" x14ac:dyDescent="0.25">
      <c r="A46" s="9" t="s">
        <v>26</v>
      </c>
      <c r="B46" s="9" t="s">
        <v>29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8</v>
      </c>
      <c r="L46" s="9">
        <v>0</v>
      </c>
      <c r="M46" s="9">
        <v>0</v>
      </c>
      <c r="N46" s="9">
        <v>0</v>
      </c>
      <c r="O46" s="9">
        <v>4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20</v>
      </c>
      <c r="Y46" s="9">
        <v>4</v>
      </c>
      <c r="Z46" s="9">
        <v>64</v>
      </c>
      <c r="AA46" s="9">
        <v>0</v>
      </c>
    </row>
    <row r="47" spans="1:27" x14ac:dyDescent="0.25">
      <c r="A47" s="9" t="s">
        <v>26</v>
      </c>
      <c r="B47" s="9" t="s">
        <v>29</v>
      </c>
      <c r="D47" s="9">
        <v>0</v>
      </c>
      <c r="E47" s="9">
        <v>0</v>
      </c>
      <c r="F47" s="9">
        <v>44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4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20</v>
      </c>
      <c r="Y47" s="9">
        <v>0</v>
      </c>
      <c r="Z47" s="9">
        <v>32</v>
      </c>
      <c r="AA47" s="9">
        <v>0</v>
      </c>
    </row>
    <row r="48" spans="1:27" x14ac:dyDescent="0.25">
      <c r="A48" s="9" t="s">
        <v>26</v>
      </c>
      <c r="B48" s="9" t="s">
        <v>29</v>
      </c>
      <c r="D48" s="9">
        <v>0</v>
      </c>
      <c r="E48" s="9">
        <v>0</v>
      </c>
      <c r="F48" s="9">
        <v>16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8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36</v>
      </c>
      <c r="Y48" s="9">
        <v>0</v>
      </c>
      <c r="Z48" s="9">
        <v>28</v>
      </c>
      <c r="AA48" s="9">
        <v>12</v>
      </c>
    </row>
    <row r="49" spans="1:27" x14ac:dyDescent="0.25">
      <c r="A49" s="9" t="s">
        <v>26</v>
      </c>
      <c r="B49" s="9" t="s">
        <v>29</v>
      </c>
      <c r="D49" s="9">
        <v>0</v>
      </c>
      <c r="E49" s="9">
        <v>0</v>
      </c>
      <c r="F49" s="9">
        <v>32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4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44</v>
      </c>
      <c r="Y49" s="9">
        <v>4</v>
      </c>
      <c r="Z49" s="9">
        <v>8</v>
      </c>
      <c r="AA49" s="9">
        <v>8</v>
      </c>
    </row>
    <row r="50" spans="1:27" x14ac:dyDescent="0.25">
      <c r="A50" s="9" t="s">
        <v>26</v>
      </c>
      <c r="B50" s="9" t="s">
        <v>29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4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4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28</v>
      </c>
      <c r="Y50" s="9">
        <v>12</v>
      </c>
      <c r="Z50" s="9">
        <v>52</v>
      </c>
      <c r="AA50" s="9">
        <v>0</v>
      </c>
    </row>
    <row r="51" spans="1:27" x14ac:dyDescent="0.25">
      <c r="A51" s="9" t="s">
        <v>26</v>
      </c>
      <c r="B51" s="9" t="s">
        <v>29</v>
      </c>
      <c r="D51" s="9">
        <v>0</v>
      </c>
      <c r="E51" s="9">
        <v>0</v>
      </c>
      <c r="F51" s="9">
        <v>40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4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4</v>
      </c>
      <c r="Y51" s="9">
        <v>4</v>
      </c>
      <c r="Z51" s="9">
        <v>40</v>
      </c>
      <c r="AA51" s="9">
        <v>8</v>
      </c>
    </row>
    <row r="52" spans="1:27" x14ac:dyDescent="0.25">
      <c r="A52" s="9" t="s">
        <v>26</v>
      </c>
      <c r="B52" s="9" t="s">
        <v>29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4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80</v>
      </c>
      <c r="Y52" s="9">
        <v>4</v>
      </c>
      <c r="Z52" s="9">
        <v>12</v>
      </c>
      <c r="AA52" s="9">
        <v>0</v>
      </c>
    </row>
    <row r="53" spans="1:27" x14ac:dyDescent="0.25">
      <c r="A53" s="9" t="s">
        <v>26</v>
      </c>
      <c r="B53" s="9" t="s">
        <v>29</v>
      </c>
      <c r="D53" s="9">
        <v>0</v>
      </c>
      <c r="E53" s="9">
        <v>0</v>
      </c>
      <c r="F53" s="9">
        <v>24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4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44</v>
      </c>
      <c r="Y53" s="9">
        <v>4</v>
      </c>
      <c r="Z53" s="9">
        <v>20</v>
      </c>
      <c r="AA53" s="9">
        <v>4</v>
      </c>
    </row>
    <row r="54" spans="1:27" x14ac:dyDescent="0.25">
      <c r="A54" s="9" t="s">
        <v>26</v>
      </c>
      <c r="B54" s="9" t="s">
        <v>29</v>
      </c>
      <c r="D54" s="9">
        <v>0</v>
      </c>
      <c r="E54" s="9">
        <v>0</v>
      </c>
      <c r="F54" s="9">
        <v>12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36</v>
      </c>
      <c r="Y54" s="9">
        <v>0</v>
      </c>
      <c r="Z54" s="9">
        <v>48</v>
      </c>
      <c r="AA54" s="9">
        <v>4</v>
      </c>
    </row>
    <row r="55" spans="1:27" x14ac:dyDescent="0.25">
      <c r="A55" s="9" t="s">
        <v>26</v>
      </c>
      <c r="B55" s="9" t="s">
        <v>29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4</v>
      </c>
      <c r="O55" s="9">
        <v>0</v>
      </c>
      <c r="P55" s="9">
        <v>0</v>
      </c>
      <c r="Q55" s="9">
        <v>0</v>
      </c>
      <c r="R55" s="9">
        <v>4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40</v>
      </c>
      <c r="Y55" s="9">
        <v>16</v>
      </c>
      <c r="Z55" s="9">
        <v>36</v>
      </c>
      <c r="AA55" s="9">
        <v>0</v>
      </c>
    </row>
    <row r="56" spans="1:27" x14ac:dyDescent="0.25">
      <c r="A56" s="9" t="s">
        <v>26</v>
      </c>
      <c r="B56" s="9" t="s">
        <v>29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8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8</v>
      </c>
      <c r="Y56" s="9">
        <v>0</v>
      </c>
      <c r="Z56" s="9">
        <v>84</v>
      </c>
      <c r="AA56" s="9">
        <v>0</v>
      </c>
    </row>
    <row r="57" spans="1:27" s="10" customFormat="1" x14ac:dyDescent="0.25">
      <c r="A57" s="10" t="s">
        <v>26</v>
      </c>
      <c r="B57" s="10" t="s">
        <v>29</v>
      </c>
      <c r="C57" s="10" t="s">
        <v>84</v>
      </c>
      <c r="D57" s="10">
        <v>0</v>
      </c>
      <c r="E57" s="10">
        <v>0</v>
      </c>
      <c r="F57" s="10">
        <v>16</v>
      </c>
      <c r="G57" s="10">
        <v>0</v>
      </c>
      <c r="H57" s="10">
        <v>0</v>
      </c>
      <c r="I57" s="10">
        <v>0</v>
      </c>
      <c r="J57" s="10">
        <v>0.266666666666667</v>
      </c>
      <c r="K57" s="10">
        <v>0.8</v>
      </c>
      <c r="L57" s="10">
        <v>0</v>
      </c>
      <c r="M57" s="10">
        <v>0.266666666666667</v>
      </c>
      <c r="N57" s="10">
        <v>0.8</v>
      </c>
      <c r="O57" s="10">
        <v>0.266666666666667</v>
      </c>
      <c r="P57" s="10">
        <v>0</v>
      </c>
      <c r="Q57" s="10">
        <v>0</v>
      </c>
      <c r="R57" s="10">
        <v>2.93333333333333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29.3333333333333</v>
      </c>
      <c r="Y57" s="10">
        <v>4.5333333333333297</v>
      </c>
      <c r="Z57" s="10">
        <v>41.866666666666703</v>
      </c>
      <c r="AA57" s="10">
        <v>2.93333333333333</v>
      </c>
    </row>
    <row r="58" spans="1:27" s="10" customFormat="1" x14ac:dyDescent="0.25">
      <c r="A58" s="10" t="s">
        <v>26</v>
      </c>
      <c r="B58" s="10" t="s">
        <v>29</v>
      </c>
      <c r="C58" s="10" t="s">
        <v>83</v>
      </c>
      <c r="D58" s="10">
        <v>0</v>
      </c>
      <c r="E58" s="10">
        <v>0</v>
      </c>
      <c r="F58" s="10">
        <v>15.856499343441801</v>
      </c>
      <c r="G58" s="10">
        <v>0</v>
      </c>
      <c r="H58" s="10">
        <v>0</v>
      </c>
      <c r="I58" s="10">
        <v>0</v>
      </c>
      <c r="J58" s="10">
        <v>1.03279555898864</v>
      </c>
      <c r="K58" s="10">
        <v>2.2424476423255499</v>
      </c>
      <c r="L58" s="10">
        <v>0</v>
      </c>
      <c r="M58" s="10">
        <v>1.03279555898864</v>
      </c>
      <c r="N58" s="10">
        <v>2.2424476423255499</v>
      </c>
      <c r="O58" s="10">
        <v>1.03279555898864</v>
      </c>
      <c r="P58" s="10">
        <v>0</v>
      </c>
      <c r="Q58" s="10">
        <v>0</v>
      </c>
      <c r="R58" s="10">
        <v>2.37446735881865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19.103726886458102</v>
      </c>
      <c r="Y58" s="10">
        <v>4.7489347176373098</v>
      </c>
      <c r="Z58" s="10">
        <v>20.777276965359</v>
      </c>
      <c r="AA58" s="10">
        <v>4.1311822359545802</v>
      </c>
    </row>
    <row r="59" spans="1:27" s="10" customFormat="1" x14ac:dyDescent="0.25">
      <c r="A59" s="10" t="s">
        <v>26</v>
      </c>
      <c r="B59" s="10" t="s">
        <v>29</v>
      </c>
      <c r="C59" s="10" t="s">
        <v>82</v>
      </c>
      <c r="D59" s="10">
        <v>0</v>
      </c>
      <c r="E59" s="10">
        <v>0</v>
      </c>
      <c r="F59" s="10">
        <v>16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4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28</v>
      </c>
      <c r="Y59" s="10">
        <v>4</v>
      </c>
      <c r="Z59" s="10">
        <v>40</v>
      </c>
      <c r="AA59" s="10">
        <v>0</v>
      </c>
    </row>
    <row r="60" spans="1:27" s="10" customFormat="1" x14ac:dyDescent="0.25">
      <c r="A60" s="10" t="s">
        <v>26</v>
      </c>
      <c r="B60" s="10" t="s">
        <v>29</v>
      </c>
      <c r="C60" s="10" t="s">
        <v>81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18</v>
      </c>
      <c r="Y60" s="10">
        <v>0</v>
      </c>
      <c r="Z60" s="10">
        <v>30</v>
      </c>
      <c r="AA60" s="10">
        <v>0</v>
      </c>
    </row>
    <row r="61" spans="1:27" s="10" customFormat="1" x14ac:dyDescent="0.25">
      <c r="A61" s="10" t="s">
        <v>26</v>
      </c>
      <c r="B61" s="10" t="s">
        <v>29</v>
      </c>
      <c r="C61" s="10" t="s">
        <v>80</v>
      </c>
      <c r="D61" s="10">
        <v>0</v>
      </c>
      <c r="E61" s="10">
        <v>0</v>
      </c>
      <c r="F61" s="10">
        <v>28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4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38</v>
      </c>
      <c r="Y61" s="10">
        <v>6</v>
      </c>
      <c r="Z61" s="10">
        <v>52</v>
      </c>
      <c r="AA61" s="10">
        <v>6</v>
      </c>
    </row>
    <row r="62" spans="1:27" x14ac:dyDescent="0.25">
      <c r="A62" s="9" t="s">
        <v>26</v>
      </c>
      <c r="B62" s="9" t="s">
        <v>30</v>
      </c>
      <c r="D62" s="9">
        <v>0</v>
      </c>
      <c r="E62" s="9">
        <v>0</v>
      </c>
      <c r="F62" s="9">
        <v>28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4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28</v>
      </c>
      <c r="Y62" s="9">
        <v>4</v>
      </c>
      <c r="Z62" s="9">
        <v>36</v>
      </c>
      <c r="AA62" s="9">
        <v>0</v>
      </c>
    </row>
    <row r="63" spans="1:27" x14ac:dyDescent="0.25">
      <c r="A63" s="9" t="s">
        <v>26</v>
      </c>
      <c r="B63" s="9" t="s">
        <v>30</v>
      </c>
      <c r="D63" s="9">
        <v>0</v>
      </c>
      <c r="E63" s="9">
        <v>0</v>
      </c>
      <c r="F63" s="9">
        <v>4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4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8</v>
      </c>
      <c r="Y63" s="9">
        <v>0</v>
      </c>
      <c r="Z63" s="9">
        <v>80</v>
      </c>
      <c r="AA63" s="9">
        <v>4</v>
      </c>
    </row>
    <row r="64" spans="1:27" x14ac:dyDescent="0.25">
      <c r="A64" s="9" t="s">
        <v>26</v>
      </c>
      <c r="B64" s="9" t="s">
        <v>30</v>
      </c>
      <c r="D64" s="9">
        <v>0</v>
      </c>
      <c r="E64" s="9">
        <v>0</v>
      </c>
      <c r="F64" s="9">
        <v>28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4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24</v>
      </c>
      <c r="Y64" s="9">
        <v>0</v>
      </c>
      <c r="Z64" s="9">
        <v>40</v>
      </c>
      <c r="AA64" s="9">
        <v>4</v>
      </c>
    </row>
    <row r="65" spans="1:27" x14ac:dyDescent="0.25">
      <c r="A65" s="9" t="s">
        <v>26</v>
      </c>
      <c r="B65" s="9" t="s">
        <v>30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4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44</v>
      </c>
      <c r="Y65" s="9">
        <v>4</v>
      </c>
      <c r="Z65" s="9">
        <v>48</v>
      </c>
      <c r="AA65" s="9">
        <v>0</v>
      </c>
    </row>
    <row r="66" spans="1:27" x14ac:dyDescent="0.25">
      <c r="A66" s="9" t="s">
        <v>26</v>
      </c>
      <c r="B66" s="9" t="s">
        <v>30</v>
      </c>
      <c r="D66" s="9">
        <v>0</v>
      </c>
      <c r="E66" s="9">
        <v>0</v>
      </c>
      <c r="F66" s="9">
        <v>32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40</v>
      </c>
      <c r="Y66" s="9">
        <v>8</v>
      </c>
      <c r="Z66" s="9">
        <v>16</v>
      </c>
      <c r="AA66" s="9">
        <v>4</v>
      </c>
    </row>
    <row r="67" spans="1:27" x14ac:dyDescent="0.25">
      <c r="A67" s="9" t="s">
        <v>26</v>
      </c>
      <c r="B67" s="9" t="s">
        <v>30</v>
      </c>
      <c r="D67" s="9">
        <v>0</v>
      </c>
      <c r="E67" s="9">
        <v>0</v>
      </c>
      <c r="F67" s="9">
        <v>4</v>
      </c>
      <c r="G67" s="9">
        <v>0</v>
      </c>
      <c r="H67" s="9">
        <v>0</v>
      </c>
      <c r="I67" s="9">
        <v>0</v>
      </c>
      <c r="J67" s="9">
        <v>0</v>
      </c>
      <c r="K67" s="9">
        <v>8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64</v>
      </c>
      <c r="Y67" s="9">
        <v>4</v>
      </c>
      <c r="Z67" s="9">
        <v>12</v>
      </c>
      <c r="AA67" s="9">
        <v>8</v>
      </c>
    </row>
    <row r="68" spans="1:27" x14ac:dyDescent="0.25">
      <c r="A68" s="9" t="s">
        <v>26</v>
      </c>
      <c r="B68" s="9" t="s">
        <v>30</v>
      </c>
      <c r="D68" s="9">
        <v>0</v>
      </c>
      <c r="E68" s="9">
        <v>0</v>
      </c>
      <c r="F68" s="9">
        <v>20</v>
      </c>
      <c r="G68" s="9">
        <v>0</v>
      </c>
      <c r="H68" s="9">
        <v>0</v>
      </c>
      <c r="I68" s="9">
        <v>0</v>
      </c>
      <c r="J68" s="9">
        <v>0</v>
      </c>
      <c r="K68" s="9">
        <v>4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56</v>
      </c>
      <c r="Y68" s="9">
        <v>4</v>
      </c>
      <c r="Z68" s="9">
        <v>16</v>
      </c>
      <c r="AA68" s="9">
        <v>0</v>
      </c>
    </row>
    <row r="69" spans="1:27" x14ac:dyDescent="0.25">
      <c r="A69" s="9" t="s">
        <v>26</v>
      </c>
      <c r="B69" s="9" t="s">
        <v>30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8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72</v>
      </c>
      <c r="Y69" s="9">
        <v>0</v>
      </c>
      <c r="Z69" s="9">
        <v>20</v>
      </c>
      <c r="AA69" s="9">
        <v>0</v>
      </c>
    </row>
    <row r="70" spans="1:27" x14ac:dyDescent="0.25">
      <c r="A70" s="9" t="s">
        <v>26</v>
      </c>
      <c r="B70" s="9" t="s">
        <v>30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4</v>
      </c>
      <c r="L70" s="9">
        <v>8</v>
      </c>
      <c r="M70" s="9">
        <v>4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28</v>
      </c>
      <c r="Y70" s="9">
        <v>4</v>
      </c>
      <c r="Z70" s="9">
        <v>20</v>
      </c>
      <c r="AA70" s="9">
        <v>32</v>
      </c>
    </row>
    <row r="71" spans="1:27" x14ac:dyDescent="0.25">
      <c r="A71" s="9" t="s">
        <v>26</v>
      </c>
      <c r="B71" s="9" t="s">
        <v>30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4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28</v>
      </c>
      <c r="Y71" s="9">
        <v>20</v>
      </c>
      <c r="Z71" s="9">
        <v>48</v>
      </c>
      <c r="AA71" s="9">
        <v>0</v>
      </c>
    </row>
    <row r="72" spans="1:27" x14ac:dyDescent="0.25">
      <c r="A72" s="9" t="s">
        <v>26</v>
      </c>
      <c r="B72" s="9" t="s">
        <v>30</v>
      </c>
      <c r="D72" s="9">
        <v>0</v>
      </c>
      <c r="E72" s="9">
        <v>0</v>
      </c>
      <c r="F72" s="9">
        <v>20</v>
      </c>
      <c r="G72" s="9">
        <v>0</v>
      </c>
      <c r="H72" s="9">
        <v>0</v>
      </c>
      <c r="I72" s="9">
        <v>0</v>
      </c>
      <c r="J72" s="9">
        <v>0</v>
      </c>
      <c r="K72" s="9">
        <v>8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20</v>
      </c>
      <c r="Y72" s="9">
        <v>0</v>
      </c>
      <c r="Z72" s="9">
        <v>48</v>
      </c>
      <c r="AA72" s="9">
        <v>4</v>
      </c>
    </row>
    <row r="73" spans="1:27" x14ac:dyDescent="0.25">
      <c r="A73" s="9" t="s">
        <v>26</v>
      </c>
      <c r="B73" s="9" t="s">
        <v>30</v>
      </c>
      <c r="D73" s="9">
        <v>0</v>
      </c>
      <c r="E73" s="9">
        <v>0</v>
      </c>
      <c r="F73" s="9">
        <v>28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28</v>
      </c>
      <c r="Y73" s="9">
        <v>0</v>
      </c>
      <c r="Z73" s="9">
        <v>44</v>
      </c>
      <c r="AA73" s="9">
        <v>0</v>
      </c>
    </row>
    <row r="74" spans="1:27" x14ac:dyDescent="0.25">
      <c r="A74" s="9" t="s">
        <v>26</v>
      </c>
      <c r="B74" s="9" t="s">
        <v>30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4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36</v>
      </c>
      <c r="Y74" s="9">
        <v>4</v>
      </c>
      <c r="Z74" s="9">
        <v>56</v>
      </c>
      <c r="AA74" s="9">
        <v>0</v>
      </c>
    </row>
    <row r="75" spans="1:27" x14ac:dyDescent="0.25">
      <c r="A75" s="9" t="s">
        <v>26</v>
      </c>
      <c r="B75" s="9" t="s">
        <v>30</v>
      </c>
      <c r="D75" s="9">
        <v>0</v>
      </c>
      <c r="E75" s="9">
        <v>0</v>
      </c>
      <c r="F75" s="9">
        <v>16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44</v>
      </c>
      <c r="Y75" s="9">
        <v>12</v>
      </c>
      <c r="Z75" s="9">
        <v>28</v>
      </c>
      <c r="AA75" s="9">
        <v>0</v>
      </c>
    </row>
    <row r="76" spans="1:27" x14ac:dyDescent="0.25">
      <c r="A76" s="9" t="s">
        <v>26</v>
      </c>
      <c r="B76" s="9" t="s">
        <v>30</v>
      </c>
      <c r="D76" s="9">
        <v>0</v>
      </c>
      <c r="E76" s="9">
        <v>0</v>
      </c>
      <c r="F76" s="9">
        <v>12</v>
      </c>
      <c r="G76" s="9">
        <v>0</v>
      </c>
      <c r="H76" s="9">
        <v>0</v>
      </c>
      <c r="I76" s="9">
        <v>0</v>
      </c>
      <c r="J76" s="9">
        <v>4</v>
      </c>
      <c r="K76" s="9">
        <v>0</v>
      </c>
      <c r="L76" s="9">
        <v>0</v>
      </c>
      <c r="M76" s="9">
        <v>4</v>
      </c>
      <c r="N76" s="9">
        <v>0</v>
      </c>
      <c r="O76" s="9">
        <v>0</v>
      </c>
      <c r="P76" s="9">
        <v>0</v>
      </c>
      <c r="Q76" s="9">
        <v>0</v>
      </c>
      <c r="R76" s="9">
        <v>4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20</v>
      </c>
      <c r="Y76" s="9">
        <v>8</v>
      </c>
      <c r="Z76" s="9">
        <v>48</v>
      </c>
      <c r="AA76" s="9">
        <v>0</v>
      </c>
    </row>
    <row r="77" spans="1:27" s="10" customFormat="1" x14ac:dyDescent="0.25">
      <c r="A77" s="10" t="s">
        <v>26</v>
      </c>
      <c r="B77" s="10" t="s">
        <v>30</v>
      </c>
      <c r="C77" s="10" t="s">
        <v>84</v>
      </c>
      <c r="D77" s="10">
        <v>0</v>
      </c>
      <c r="E77" s="10">
        <v>0</v>
      </c>
      <c r="F77" s="10">
        <v>12.8</v>
      </c>
      <c r="G77" s="10">
        <v>0</v>
      </c>
      <c r="H77" s="10">
        <v>0</v>
      </c>
      <c r="I77" s="10">
        <v>0</v>
      </c>
      <c r="J77" s="10">
        <v>0.266666666666667</v>
      </c>
      <c r="K77" s="10">
        <v>1.6</v>
      </c>
      <c r="L77" s="10">
        <v>1.06666666666667</v>
      </c>
      <c r="M77" s="10">
        <v>0.53333333333333299</v>
      </c>
      <c r="N77" s="10">
        <v>0.266666666666667</v>
      </c>
      <c r="O77" s="10">
        <v>0.266666666666667</v>
      </c>
      <c r="P77" s="10">
        <v>0</v>
      </c>
      <c r="Q77" s="10">
        <v>0</v>
      </c>
      <c r="R77" s="10">
        <v>1.3333333333333299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36</v>
      </c>
      <c r="Y77" s="10">
        <v>4.8</v>
      </c>
      <c r="Z77" s="10">
        <v>37.3333333333333</v>
      </c>
      <c r="AA77" s="10">
        <v>3.7333333333333298</v>
      </c>
    </row>
    <row r="78" spans="1:27" s="10" customFormat="1" x14ac:dyDescent="0.25">
      <c r="A78" s="10" t="s">
        <v>26</v>
      </c>
      <c r="B78" s="10" t="s">
        <v>30</v>
      </c>
      <c r="C78" s="10" t="s">
        <v>83</v>
      </c>
      <c r="D78" s="10">
        <v>0</v>
      </c>
      <c r="E78" s="10">
        <v>0</v>
      </c>
      <c r="F78" s="10">
        <v>12.393546707863701</v>
      </c>
      <c r="G78" s="10">
        <v>0</v>
      </c>
      <c r="H78" s="10">
        <v>0</v>
      </c>
      <c r="I78" s="10">
        <v>0</v>
      </c>
      <c r="J78" s="10">
        <v>1.03279555898864</v>
      </c>
      <c r="K78" s="10">
        <v>2.9471535904520301</v>
      </c>
      <c r="L78" s="10">
        <v>2.81492620219599</v>
      </c>
      <c r="M78" s="10">
        <v>1.4074631010979901</v>
      </c>
      <c r="N78" s="10">
        <v>1.03279555898864</v>
      </c>
      <c r="O78" s="10">
        <v>1.03279555898864</v>
      </c>
      <c r="P78" s="10">
        <v>0</v>
      </c>
      <c r="Q78" s="10">
        <v>0</v>
      </c>
      <c r="R78" s="10">
        <v>1.95180014589707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17.566201313073599</v>
      </c>
      <c r="Y78" s="10">
        <v>5.4928524986047602</v>
      </c>
      <c r="Z78" s="10">
        <v>18.741347209795101</v>
      </c>
      <c r="AA78" s="10">
        <v>8.2068496362721906</v>
      </c>
    </row>
    <row r="79" spans="1:27" s="10" customFormat="1" x14ac:dyDescent="0.25">
      <c r="A79" s="10" t="s">
        <v>26</v>
      </c>
      <c r="B79" s="10" t="s">
        <v>30</v>
      </c>
      <c r="C79" s="10" t="s">
        <v>82</v>
      </c>
      <c r="D79" s="10">
        <v>0</v>
      </c>
      <c r="E79" s="10">
        <v>0</v>
      </c>
      <c r="F79" s="10">
        <v>12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28</v>
      </c>
      <c r="Y79" s="10">
        <v>4</v>
      </c>
      <c r="Z79" s="10">
        <v>40</v>
      </c>
      <c r="AA79" s="10">
        <v>0</v>
      </c>
    </row>
    <row r="80" spans="1:27" s="10" customFormat="1" x14ac:dyDescent="0.25">
      <c r="A80" s="10" t="s">
        <v>26</v>
      </c>
      <c r="B80" s="10" t="s">
        <v>30</v>
      </c>
      <c r="C80" s="10" t="s">
        <v>81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26</v>
      </c>
      <c r="Y80" s="10">
        <v>0</v>
      </c>
      <c r="Z80" s="10">
        <v>20</v>
      </c>
      <c r="AA80" s="10">
        <v>0</v>
      </c>
    </row>
    <row r="81" spans="1:27" s="10" customFormat="1" x14ac:dyDescent="0.25">
      <c r="A81" s="10" t="s">
        <v>26</v>
      </c>
      <c r="B81" s="10" t="s">
        <v>30</v>
      </c>
      <c r="C81" s="10" t="s">
        <v>80</v>
      </c>
      <c r="D81" s="10">
        <v>0</v>
      </c>
      <c r="E81" s="10">
        <v>0</v>
      </c>
      <c r="F81" s="10">
        <v>24</v>
      </c>
      <c r="G81" s="10">
        <v>0</v>
      </c>
      <c r="H81" s="10">
        <v>0</v>
      </c>
      <c r="I81" s="10">
        <v>0</v>
      </c>
      <c r="J81" s="10">
        <v>0</v>
      </c>
      <c r="K81" s="10">
        <v>2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4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44</v>
      </c>
      <c r="Y81" s="10">
        <v>6</v>
      </c>
      <c r="Z81" s="10">
        <v>48</v>
      </c>
      <c r="AA81" s="10">
        <v>4</v>
      </c>
    </row>
    <row r="82" spans="1:27" x14ac:dyDescent="0.25">
      <c r="A82" s="9" t="s">
        <v>26</v>
      </c>
      <c r="B82" s="9" t="s">
        <v>31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4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40</v>
      </c>
      <c r="Y82" s="9">
        <v>4</v>
      </c>
      <c r="Z82" s="9">
        <v>48</v>
      </c>
      <c r="AA82" s="9">
        <v>4</v>
      </c>
    </row>
    <row r="83" spans="1:27" x14ac:dyDescent="0.25">
      <c r="A83" s="9" t="s">
        <v>26</v>
      </c>
      <c r="B83" s="9" t="s">
        <v>31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4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4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48</v>
      </c>
      <c r="Y83" s="9">
        <v>0</v>
      </c>
      <c r="Z83" s="9">
        <v>0</v>
      </c>
      <c r="AA83" s="9">
        <v>44</v>
      </c>
    </row>
    <row r="84" spans="1:27" x14ac:dyDescent="0.25">
      <c r="A84" s="9" t="s">
        <v>26</v>
      </c>
      <c r="B84" s="9" t="s">
        <v>31</v>
      </c>
      <c r="D84" s="9">
        <v>0</v>
      </c>
      <c r="E84" s="9">
        <v>0</v>
      </c>
      <c r="F84" s="9">
        <v>0</v>
      </c>
      <c r="G84" s="9">
        <v>4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60</v>
      </c>
      <c r="Y84" s="9">
        <v>0</v>
      </c>
      <c r="Z84" s="9">
        <v>8</v>
      </c>
      <c r="AA84" s="9">
        <v>28</v>
      </c>
    </row>
    <row r="85" spans="1:27" x14ac:dyDescent="0.25">
      <c r="A85" s="9" t="s">
        <v>26</v>
      </c>
      <c r="B85" s="9" t="s">
        <v>31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8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36</v>
      </c>
      <c r="Y85" s="9">
        <v>0</v>
      </c>
      <c r="Z85" s="9">
        <v>12</v>
      </c>
      <c r="AA85" s="9">
        <v>44</v>
      </c>
    </row>
    <row r="86" spans="1:27" x14ac:dyDescent="0.25">
      <c r="A86" s="9" t="s">
        <v>26</v>
      </c>
      <c r="B86" s="9" t="s">
        <v>31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16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80</v>
      </c>
      <c r="Y86" s="9">
        <v>0</v>
      </c>
      <c r="Z86" s="9">
        <v>0</v>
      </c>
      <c r="AA86" s="9">
        <v>4</v>
      </c>
    </row>
    <row r="87" spans="1:27" x14ac:dyDescent="0.25">
      <c r="A87" s="9" t="s">
        <v>26</v>
      </c>
      <c r="B87" s="9" t="s">
        <v>31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12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8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68</v>
      </c>
      <c r="Y87" s="9">
        <v>0</v>
      </c>
      <c r="Z87" s="9">
        <v>0</v>
      </c>
      <c r="AA87" s="9">
        <v>12</v>
      </c>
    </row>
    <row r="88" spans="1:27" x14ac:dyDescent="0.25">
      <c r="A88" s="9" t="s">
        <v>26</v>
      </c>
      <c r="B88" s="9" t="s">
        <v>31</v>
      </c>
      <c r="D88" s="9">
        <v>0</v>
      </c>
      <c r="E88" s="9">
        <v>0</v>
      </c>
      <c r="F88" s="9">
        <v>4</v>
      </c>
      <c r="G88" s="9">
        <v>0</v>
      </c>
      <c r="H88" s="9">
        <v>0</v>
      </c>
      <c r="I88" s="9">
        <v>0</v>
      </c>
      <c r="J88" s="9">
        <v>0</v>
      </c>
      <c r="K88" s="9">
        <v>8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48</v>
      </c>
      <c r="Y88" s="9">
        <v>0</v>
      </c>
      <c r="Z88" s="9">
        <v>40</v>
      </c>
      <c r="AA88" s="9">
        <v>0</v>
      </c>
    </row>
    <row r="89" spans="1:27" x14ac:dyDescent="0.25">
      <c r="A89" s="9" t="s">
        <v>26</v>
      </c>
      <c r="B89" s="9" t="s">
        <v>31</v>
      </c>
      <c r="D89" s="9">
        <v>0</v>
      </c>
      <c r="E89" s="9">
        <v>0</v>
      </c>
      <c r="F89" s="9">
        <v>28</v>
      </c>
      <c r="G89" s="9">
        <v>0</v>
      </c>
      <c r="H89" s="9">
        <v>0</v>
      </c>
      <c r="I89" s="9">
        <v>0</v>
      </c>
      <c r="J89" s="9">
        <v>0</v>
      </c>
      <c r="K89" s="9">
        <v>4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4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24</v>
      </c>
      <c r="Y89" s="9">
        <v>8</v>
      </c>
      <c r="Z89" s="9">
        <v>20</v>
      </c>
      <c r="AA89" s="9">
        <v>12</v>
      </c>
    </row>
    <row r="90" spans="1:27" x14ac:dyDescent="0.25">
      <c r="A90" s="9" t="s">
        <v>26</v>
      </c>
      <c r="B90" s="9" t="s">
        <v>31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4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44</v>
      </c>
      <c r="Y90" s="9">
        <v>4</v>
      </c>
      <c r="Z90" s="9">
        <v>48</v>
      </c>
      <c r="AA90" s="9">
        <v>0</v>
      </c>
    </row>
    <row r="91" spans="1:27" x14ac:dyDescent="0.25">
      <c r="A91" s="9" t="s">
        <v>26</v>
      </c>
      <c r="B91" s="9" t="s">
        <v>31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48</v>
      </c>
      <c r="Y91" s="9">
        <v>8</v>
      </c>
      <c r="Z91" s="9">
        <v>44</v>
      </c>
      <c r="AA91" s="9">
        <v>0</v>
      </c>
    </row>
    <row r="92" spans="1:27" x14ac:dyDescent="0.25">
      <c r="A92" s="9" t="s">
        <v>26</v>
      </c>
      <c r="B92" s="9" t="s">
        <v>31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8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60</v>
      </c>
      <c r="Y92" s="9">
        <v>4</v>
      </c>
      <c r="Z92" s="9">
        <v>16</v>
      </c>
      <c r="AA92" s="9">
        <v>12</v>
      </c>
    </row>
    <row r="93" spans="1:27" x14ac:dyDescent="0.25">
      <c r="A93" s="9" t="s">
        <v>26</v>
      </c>
      <c r="B93" s="9" t="s">
        <v>31</v>
      </c>
      <c r="D93" s="9">
        <v>0</v>
      </c>
      <c r="E93" s="9">
        <v>0</v>
      </c>
      <c r="F93" s="9">
        <v>16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4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48</v>
      </c>
      <c r="Y93" s="9">
        <v>4</v>
      </c>
      <c r="Z93" s="9">
        <v>24</v>
      </c>
      <c r="AA93" s="9">
        <v>4</v>
      </c>
    </row>
    <row r="94" spans="1:27" x14ac:dyDescent="0.25">
      <c r="A94" s="9" t="s">
        <v>26</v>
      </c>
      <c r="B94" s="9" t="s">
        <v>31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4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72</v>
      </c>
      <c r="Y94" s="9">
        <v>0</v>
      </c>
      <c r="Z94" s="9">
        <v>20</v>
      </c>
      <c r="AA94" s="9">
        <v>4</v>
      </c>
    </row>
    <row r="95" spans="1:27" x14ac:dyDescent="0.25">
      <c r="A95" s="9" t="s">
        <v>26</v>
      </c>
      <c r="B95" s="9" t="s">
        <v>31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4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72</v>
      </c>
      <c r="Y95" s="9">
        <v>4</v>
      </c>
      <c r="Z95" s="9">
        <v>8</v>
      </c>
      <c r="AA95" s="9">
        <v>12</v>
      </c>
    </row>
    <row r="96" spans="1:27" x14ac:dyDescent="0.25">
      <c r="A96" s="9" t="s">
        <v>26</v>
      </c>
      <c r="B96" s="9" t="s">
        <v>31</v>
      </c>
      <c r="D96" s="9">
        <v>0</v>
      </c>
      <c r="E96" s="9">
        <v>0</v>
      </c>
      <c r="F96" s="9">
        <v>24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56</v>
      </c>
      <c r="Y96" s="9">
        <v>0</v>
      </c>
      <c r="Z96" s="9">
        <v>4</v>
      </c>
      <c r="AA96" s="9">
        <v>16</v>
      </c>
    </row>
    <row r="97" spans="1:27" s="10" customFormat="1" x14ac:dyDescent="0.25">
      <c r="A97" s="10" t="s">
        <v>26</v>
      </c>
      <c r="B97" s="10" t="s">
        <v>31</v>
      </c>
      <c r="C97" s="10" t="s">
        <v>84</v>
      </c>
      <c r="D97" s="10">
        <v>0</v>
      </c>
      <c r="E97" s="10">
        <v>0</v>
      </c>
      <c r="F97" s="10">
        <v>4.8</v>
      </c>
      <c r="G97" s="10">
        <v>0.266666666666667</v>
      </c>
      <c r="H97" s="10">
        <v>0</v>
      </c>
      <c r="I97" s="10">
        <v>0</v>
      </c>
      <c r="J97" s="10">
        <v>0</v>
      </c>
      <c r="K97" s="10">
        <v>4.8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1.6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53.6</v>
      </c>
      <c r="Y97" s="10">
        <v>2.4</v>
      </c>
      <c r="Z97" s="10">
        <v>19.466666666666701</v>
      </c>
      <c r="AA97" s="10">
        <v>13.0666666666667</v>
      </c>
    </row>
    <row r="98" spans="1:27" s="10" customFormat="1" x14ac:dyDescent="0.25">
      <c r="A98" s="10" t="s">
        <v>26</v>
      </c>
      <c r="B98" s="10" t="s">
        <v>31</v>
      </c>
      <c r="C98" s="10" t="s">
        <v>83</v>
      </c>
      <c r="D98" s="10">
        <v>0</v>
      </c>
      <c r="E98" s="10">
        <v>0</v>
      </c>
      <c r="F98" s="10">
        <v>9.5857036406157601</v>
      </c>
      <c r="G98" s="10">
        <v>1.03279555898864</v>
      </c>
      <c r="H98" s="10">
        <v>0</v>
      </c>
      <c r="I98" s="10">
        <v>0</v>
      </c>
      <c r="J98" s="10">
        <v>0</v>
      </c>
      <c r="K98" s="10">
        <v>4.8284868969777399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2.5298221281347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15.254039277703299</v>
      </c>
      <c r="Y98" s="10">
        <v>2.9471535904520301</v>
      </c>
      <c r="Z98" s="10">
        <v>17.687229721980099</v>
      </c>
      <c r="AA98" s="10">
        <v>14.6163639540788</v>
      </c>
    </row>
    <row r="99" spans="1:27" s="10" customFormat="1" x14ac:dyDescent="0.25">
      <c r="A99" s="10" t="s">
        <v>26</v>
      </c>
      <c r="B99" s="10" t="s">
        <v>31</v>
      </c>
      <c r="C99" s="10" t="s">
        <v>82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4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48</v>
      </c>
      <c r="Y99" s="10">
        <v>0</v>
      </c>
      <c r="Z99" s="10">
        <v>16</v>
      </c>
      <c r="AA99" s="10">
        <v>12</v>
      </c>
    </row>
    <row r="100" spans="1:27" s="10" customFormat="1" x14ac:dyDescent="0.25">
      <c r="A100" s="10" t="s">
        <v>26</v>
      </c>
      <c r="B100" s="10" t="s">
        <v>31</v>
      </c>
      <c r="C100" s="10" t="s">
        <v>81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46</v>
      </c>
      <c r="Y100" s="10">
        <v>0</v>
      </c>
      <c r="Z100" s="10">
        <v>6</v>
      </c>
      <c r="AA100" s="10">
        <v>4</v>
      </c>
    </row>
    <row r="101" spans="1:27" s="10" customFormat="1" x14ac:dyDescent="0.25">
      <c r="A101" s="10" t="s">
        <v>26</v>
      </c>
      <c r="B101" s="10" t="s">
        <v>31</v>
      </c>
      <c r="C101" s="10" t="s">
        <v>80</v>
      </c>
      <c r="D101" s="10">
        <v>0</v>
      </c>
      <c r="E101" s="10">
        <v>0</v>
      </c>
      <c r="F101" s="10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8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4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64</v>
      </c>
      <c r="Y101" s="10">
        <v>4</v>
      </c>
      <c r="Z101" s="10">
        <v>32</v>
      </c>
      <c r="AA101" s="10">
        <v>14</v>
      </c>
    </row>
    <row r="102" spans="1:27" x14ac:dyDescent="0.25">
      <c r="A102" s="9" t="s">
        <v>26</v>
      </c>
      <c r="B102" s="9" t="s">
        <v>32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36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4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40</v>
      </c>
      <c r="Y102" s="9">
        <v>0</v>
      </c>
      <c r="Z102" s="9">
        <v>0</v>
      </c>
      <c r="AA102" s="9">
        <v>20</v>
      </c>
    </row>
    <row r="103" spans="1:27" x14ac:dyDescent="0.25">
      <c r="A103" s="9" t="s">
        <v>26</v>
      </c>
      <c r="B103" s="9" t="s">
        <v>32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12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64</v>
      </c>
      <c r="Y103" s="9">
        <v>4</v>
      </c>
      <c r="Z103" s="9">
        <v>0</v>
      </c>
      <c r="AA103" s="9">
        <v>20</v>
      </c>
    </row>
    <row r="104" spans="1:27" x14ac:dyDescent="0.25">
      <c r="A104" s="9" t="s">
        <v>26</v>
      </c>
      <c r="B104" s="9" t="s">
        <v>32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36</v>
      </c>
      <c r="Y104" s="9">
        <v>0</v>
      </c>
      <c r="Z104" s="9">
        <v>52</v>
      </c>
      <c r="AA104" s="9">
        <v>12</v>
      </c>
    </row>
    <row r="105" spans="1:27" x14ac:dyDescent="0.25">
      <c r="A105" s="9" t="s">
        <v>26</v>
      </c>
      <c r="B105" s="9" t="s">
        <v>32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4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4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28</v>
      </c>
      <c r="Y105" s="9">
        <v>4</v>
      </c>
      <c r="Z105" s="9">
        <v>52</v>
      </c>
      <c r="AA105" s="9">
        <v>8</v>
      </c>
    </row>
    <row r="106" spans="1:27" x14ac:dyDescent="0.25">
      <c r="A106" s="9" t="s">
        <v>26</v>
      </c>
      <c r="B106" s="9" t="s">
        <v>32</v>
      </c>
      <c r="D106" s="9">
        <v>0</v>
      </c>
      <c r="E106" s="9">
        <v>0</v>
      </c>
      <c r="F106" s="9">
        <v>4</v>
      </c>
      <c r="G106" s="9">
        <v>0</v>
      </c>
      <c r="H106" s="9">
        <v>0</v>
      </c>
      <c r="I106" s="9">
        <v>0</v>
      </c>
      <c r="J106" s="9">
        <v>0</v>
      </c>
      <c r="K106" s="9">
        <v>8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56</v>
      </c>
      <c r="Y106" s="9">
        <v>8</v>
      </c>
      <c r="Z106" s="9">
        <v>16</v>
      </c>
      <c r="AA106" s="9">
        <v>8</v>
      </c>
    </row>
    <row r="107" spans="1:27" x14ac:dyDescent="0.25">
      <c r="A107" s="9" t="s">
        <v>26</v>
      </c>
      <c r="B107" s="9" t="s">
        <v>32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4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52</v>
      </c>
      <c r="Y107" s="9">
        <v>8</v>
      </c>
      <c r="Z107" s="9">
        <v>32</v>
      </c>
      <c r="AA107" s="9">
        <v>4</v>
      </c>
    </row>
    <row r="108" spans="1:27" x14ac:dyDescent="0.25">
      <c r="A108" s="9" t="s">
        <v>26</v>
      </c>
      <c r="B108" s="9" t="s">
        <v>32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40</v>
      </c>
      <c r="Y108" s="9">
        <v>0</v>
      </c>
      <c r="Z108" s="9">
        <v>60</v>
      </c>
      <c r="AA108" s="9">
        <v>0</v>
      </c>
    </row>
    <row r="109" spans="1:27" x14ac:dyDescent="0.25">
      <c r="A109" s="9" t="s">
        <v>26</v>
      </c>
      <c r="B109" s="9" t="s">
        <v>32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20</v>
      </c>
      <c r="Y109" s="9">
        <v>4</v>
      </c>
      <c r="Z109" s="9">
        <v>72</v>
      </c>
      <c r="AA109" s="9">
        <v>4</v>
      </c>
    </row>
    <row r="110" spans="1:27" x14ac:dyDescent="0.25">
      <c r="A110" s="9" t="s">
        <v>26</v>
      </c>
      <c r="B110" s="9" t="s">
        <v>32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4</v>
      </c>
      <c r="Y110" s="9">
        <v>0</v>
      </c>
      <c r="Z110" s="9">
        <v>92</v>
      </c>
      <c r="AA110" s="9">
        <v>4</v>
      </c>
    </row>
    <row r="111" spans="1:27" x14ac:dyDescent="0.25">
      <c r="A111" s="9" t="s">
        <v>26</v>
      </c>
      <c r="B111" s="9" t="s">
        <v>32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48</v>
      </c>
      <c r="Y111" s="9">
        <v>0</v>
      </c>
      <c r="Z111" s="9">
        <v>52</v>
      </c>
      <c r="AA111" s="9">
        <v>0</v>
      </c>
    </row>
    <row r="112" spans="1:27" x14ac:dyDescent="0.25">
      <c r="A112" s="9" t="s">
        <v>26</v>
      </c>
      <c r="B112" s="9" t="s">
        <v>32</v>
      </c>
      <c r="D112" s="9">
        <v>0</v>
      </c>
      <c r="E112" s="9">
        <v>0</v>
      </c>
      <c r="F112" s="9">
        <v>8</v>
      </c>
      <c r="G112" s="9">
        <v>0</v>
      </c>
      <c r="H112" s="9">
        <v>0</v>
      </c>
      <c r="I112" s="9">
        <v>0</v>
      </c>
      <c r="J112" s="9">
        <v>0</v>
      </c>
      <c r="K112" s="9">
        <v>4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4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64</v>
      </c>
      <c r="Y112" s="9">
        <v>0</v>
      </c>
      <c r="Z112" s="9">
        <v>16</v>
      </c>
      <c r="AA112" s="9">
        <v>4</v>
      </c>
    </row>
    <row r="113" spans="1:27" x14ac:dyDescent="0.25">
      <c r="A113" s="9" t="s">
        <v>26</v>
      </c>
      <c r="B113" s="9" t="s">
        <v>32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4</v>
      </c>
      <c r="L113" s="9">
        <v>4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68</v>
      </c>
      <c r="Y113" s="9">
        <v>0</v>
      </c>
      <c r="Z113" s="9">
        <v>16</v>
      </c>
      <c r="AA113" s="9">
        <v>8</v>
      </c>
    </row>
    <row r="114" spans="1:27" x14ac:dyDescent="0.25">
      <c r="A114" s="9" t="s">
        <v>26</v>
      </c>
      <c r="B114" s="9" t="s">
        <v>32</v>
      </c>
      <c r="D114" s="9">
        <v>0</v>
      </c>
      <c r="E114" s="9">
        <v>0</v>
      </c>
      <c r="F114" s="9">
        <v>12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68</v>
      </c>
      <c r="Y114" s="9">
        <v>0</v>
      </c>
      <c r="Z114" s="9">
        <v>8</v>
      </c>
      <c r="AA114" s="9">
        <v>12</v>
      </c>
    </row>
    <row r="115" spans="1:27" x14ac:dyDescent="0.25">
      <c r="A115" s="9" t="s">
        <v>26</v>
      </c>
      <c r="B115" s="9" t="s">
        <v>32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8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72</v>
      </c>
      <c r="Y115" s="9">
        <v>0</v>
      </c>
      <c r="Z115" s="9">
        <v>4</v>
      </c>
      <c r="AA115" s="9">
        <v>16</v>
      </c>
    </row>
    <row r="116" spans="1:27" x14ac:dyDescent="0.25">
      <c r="A116" s="9" t="s">
        <v>26</v>
      </c>
      <c r="B116" s="9" t="s">
        <v>32</v>
      </c>
      <c r="D116" s="9">
        <v>0</v>
      </c>
      <c r="E116" s="9">
        <v>0</v>
      </c>
      <c r="F116" s="9">
        <v>32</v>
      </c>
      <c r="G116" s="9">
        <v>0</v>
      </c>
      <c r="H116" s="9">
        <v>0</v>
      </c>
      <c r="I116" s="9">
        <v>0</v>
      </c>
      <c r="J116" s="9">
        <v>0</v>
      </c>
      <c r="K116" s="9">
        <v>12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28</v>
      </c>
      <c r="Y116" s="9">
        <v>0</v>
      </c>
      <c r="Z116" s="9">
        <v>0</v>
      </c>
      <c r="AA116" s="9">
        <v>28</v>
      </c>
    </row>
    <row r="117" spans="1:27" s="10" customFormat="1" x14ac:dyDescent="0.25">
      <c r="A117" s="10" t="s">
        <v>26</v>
      </c>
      <c r="B117" s="10" t="s">
        <v>32</v>
      </c>
      <c r="C117" s="10" t="s">
        <v>84</v>
      </c>
      <c r="D117" s="10">
        <v>0</v>
      </c>
      <c r="E117" s="10">
        <v>0</v>
      </c>
      <c r="F117" s="10">
        <v>3.7333333333333298</v>
      </c>
      <c r="G117" s="10">
        <v>0</v>
      </c>
      <c r="H117" s="10">
        <v>0</v>
      </c>
      <c r="I117" s="10">
        <v>0</v>
      </c>
      <c r="J117" s="10">
        <v>0</v>
      </c>
      <c r="K117" s="10">
        <v>6.1333333333333302</v>
      </c>
      <c r="L117" s="10">
        <v>0.266666666666667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0.8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45.866666666666703</v>
      </c>
      <c r="Y117" s="10">
        <v>1.86666666666667</v>
      </c>
      <c r="Z117" s="10">
        <v>31.466666666666701</v>
      </c>
      <c r="AA117" s="10">
        <v>9.8666666666666707</v>
      </c>
    </row>
    <row r="118" spans="1:27" s="10" customFormat="1" x14ac:dyDescent="0.25">
      <c r="A118" s="10" t="s">
        <v>26</v>
      </c>
      <c r="B118" s="10" t="s">
        <v>32</v>
      </c>
      <c r="C118" s="10" t="s">
        <v>83</v>
      </c>
      <c r="D118" s="10">
        <v>0</v>
      </c>
      <c r="E118" s="10">
        <v>0</v>
      </c>
      <c r="F118" s="10">
        <v>8.6144949828486101</v>
      </c>
      <c r="G118" s="10">
        <v>0</v>
      </c>
      <c r="H118" s="10">
        <v>0</v>
      </c>
      <c r="I118" s="10">
        <v>0</v>
      </c>
      <c r="J118" s="10">
        <v>0</v>
      </c>
      <c r="K118" s="10">
        <v>9.30335321012703</v>
      </c>
      <c r="L118" s="10">
        <v>1.03279555898864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1.65615734242165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20.163144123682201</v>
      </c>
      <c r="Y118" s="10">
        <v>2.9728934118288302</v>
      </c>
      <c r="Z118" s="10">
        <v>29.736621641784801</v>
      </c>
      <c r="AA118" s="10">
        <v>8.1228660201281393</v>
      </c>
    </row>
    <row r="119" spans="1:27" s="10" customFormat="1" x14ac:dyDescent="0.25">
      <c r="A119" s="10" t="s">
        <v>26</v>
      </c>
      <c r="B119" s="10" t="s">
        <v>32</v>
      </c>
      <c r="C119" s="10" t="s">
        <v>82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4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48</v>
      </c>
      <c r="Y119" s="10">
        <v>0</v>
      </c>
      <c r="Z119" s="10">
        <v>16</v>
      </c>
      <c r="AA119" s="10">
        <v>8</v>
      </c>
    </row>
    <row r="120" spans="1:27" s="10" customFormat="1" x14ac:dyDescent="0.25">
      <c r="A120" s="10" t="s">
        <v>26</v>
      </c>
      <c r="B120" s="10" t="s">
        <v>32</v>
      </c>
      <c r="C120" s="10" t="s">
        <v>81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32</v>
      </c>
      <c r="Y120" s="10">
        <v>0</v>
      </c>
      <c r="Z120" s="10">
        <v>6</v>
      </c>
      <c r="AA120" s="10">
        <v>4</v>
      </c>
    </row>
    <row r="121" spans="1:27" s="10" customFormat="1" x14ac:dyDescent="0.25">
      <c r="A121" s="10" t="s">
        <v>26</v>
      </c>
      <c r="B121" s="10" t="s">
        <v>32</v>
      </c>
      <c r="C121" s="10" t="s">
        <v>80</v>
      </c>
      <c r="D121" s="10">
        <v>0</v>
      </c>
      <c r="E121" s="10">
        <v>0</v>
      </c>
      <c r="F121" s="10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8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64</v>
      </c>
      <c r="Y121" s="10">
        <v>4</v>
      </c>
      <c r="Z121" s="10">
        <v>52</v>
      </c>
      <c r="AA121" s="10">
        <v>14</v>
      </c>
    </row>
    <row r="122" spans="1:27" x14ac:dyDescent="0.25">
      <c r="A122" s="9" t="s">
        <v>33</v>
      </c>
      <c r="B122" s="9" t="s">
        <v>27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4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52</v>
      </c>
      <c r="Y122" s="9">
        <v>0</v>
      </c>
      <c r="Z122" s="9">
        <v>44</v>
      </c>
      <c r="AA122" s="9">
        <v>0</v>
      </c>
    </row>
    <row r="123" spans="1:27" x14ac:dyDescent="0.25">
      <c r="A123" s="9" t="s">
        <v>33</v>
      </c>
      <c r="B123" s="9" t="s">
        <v>27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4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28</v>
      </c>
      <c r="Y123" s="9">
        <v>0</v>
      </c>
      <c r="Z123" s="9">
        <v>68</v>
      </c>
      <c r="AA123" s="9">
        <v>0</v>
      </c>
    </row>
    <row r="124" spans="1:27" x14ac:dyDescent="0.25">
      <c r="A124" s="9" t="s">
        <v>33</v>
      </c>
      <c r="B124" s="9" t="s">
        <v>27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4</v>
      </c>
      <c r="L124" s="9">
        <v>0</v>
      </c>
      <c r="M124" s="9">
        <v>0</v>
      </c>
      <c r="N124" s="9">
        <v>0</v>
      </c>
      <c r="O124" s="9">
        <v>24</v>
      </c>
      <c r="P124" s="9">
        <v>0</v>
      </c>
      <c r="Q124" s="9">
        <v>0</v>
      </c>
      <c r="R124" s="9">
        <v>0</v>
      </c>
      <c r="S124" s="9">
        <v>8</v>
      </c>
      <c r="T124" s="9">
        <v>0</v>
      </c>
      <c r="U124" s="9">
        <v>0</v>
      </c>
      <c r="V124" s="9">
        <v>0</v>
      </c>
      <c r="W124" s="9">
        <v>0</v>
      </c>
      <c r="X124" s="9">
        <v>24</v>
      </c>
      <c r="Y124" s="9">
        <v>0</v>
      </c>
      <c r="Z124" s="9">
        <v>36</v>
      </c>
      <c r="AA124" s="9">
        <v>4</v>
      </c>
    </row>
    <row r="125" spans="1:27" x14ac:dyDescent="0.25">
      <c r="A125" s="9" t="s">
        <v>33</v>
      </c>
      <c r="B125" s="9" t="s">
        <v>27</v>
      </c>
      <c r="D125" s="9">
        <v>0</v>
      </c>
      <c r="E125" s="9">
        <v>0</v>
      </c>
      <c r="F125" s="9">
        <v>12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24</v>
      </c>
      <c r="Y125" s="9">
        <v>0</v>
      </c>
      <c r="Z125" s="9">
        <v>64</v>
      </c>
      <c r="AA125" s="9">
        <v>0</v>
      </c>
    </row>
    <row r="126" spans="1:27" x14ac:dyDescent="0.25">
      <c r="A126" s="9" t="s">
        <v>33</v>
      </c>
      <c r="B126" s="9" t="s">
        <v>27</v>
      </c>
      <c r="D126" s="9">
        <v>24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4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44</v>
      </c>
      <c r="Y126" s="9">
        <v>0</v>
      </c>
      <c r="Z126" s="9">
        <v>28</v>
      </c>
      <c r="AA126" s="9">
        <v>0</v>
      </c>
    </row>
    <row r="127" spans="1:27" x14ac:dyDescent="0.25">
      <c r="A127" s="9" t="s">
        <v>33</v>
      </c>
      <c r="B127" s="9" t="s">
        <v>27</v>
      </c>
      <c r="D127" s="9">
        <v>12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4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40</v>
      </c>
      <c r="Y127" s="9">
        <v>0</v>
      </c>
      <c r="Z127" s="9">
        <v>44</v>
      </c>
      <c r="AA127" s="9">
        <v>0</v>
      </c>
    </row>
    <row r="128" spans="1:27" x14ac:dyDescent="0.25">
      <c r="A128" s="9" t="s">
        <v>33</v>
      </c>
      <c r="B128" s="9" t="s">
        <v>27</v>
      </c>
      <c r="D128" s="9">
        <v>0</v>
      </c>
      <c r="E128" s="9">
        <v>0</v>
      </c>
      <c r="F128" s="9">
        <v>0</v>
      </c>
      <c r="G128" s="9">
        <v>24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8</v>
      </c>
      <c r="Y128" s="9">
        <v>0</v>
      </c>
      <c r="Z128" s="9">
        <v>64</v>
      </c>
      <c r="AA128" s="9">
        <v>4</v>
      </c>
    </row>
    <row r="129" spans="1:27" x14ac:dyDescent="0.25">
      <c r="A129" s="9" t="s">
        <v>33</v>
      </c>
      <c r="B129" s="9" t="s">
        <v>27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4</v>
      </c>
      <c r="O129" s="9">
        <v>4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4</v>
      </c>
      <c r="Y129" s="9">
        <v>0</v>
      </c>
      <c r="Z129" s="9">
        <v>88</v>
      </c>
      <c r="AA129" s="9">
        <v>0</v>
      </c>
    </row>
    <row r="130" spans="1:27" x14ac:dyDescent="0.25">
      <c r="A130" s="9" t="s">
        <v>33</v>
      </c>
      <c r="B130" s="9" t="s">
        <v>27</v>
      </c>
      <c r="D130" s="9">
        <v>0</v>
      </c>
      <c r="E130" s="9">
        <v>0</v>
      </c>
      <c r="F130" s="9">
        <v>8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4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4</v>
      </c>
      <c r="Y130" s="9">
        <v>0</v>
      </c>
      <c r="Z130" s="9">
        <v>84</v>
      </c>
      <c r="AA130" s="9">
        <v>0</v>
      </c>
    </row>
    <row r="131" spans="1:27" x14ac:dyDescent="0.25">
      <c r="A131" s="9" t="s">
        <v>33</v>
      </c>
      <c r="B131" s="9" t="s">
        <v>27</v>
      </c>
      <c r="D131" s="9">
        <v>0</v>
      </c>
      <c r="E131" s="9">
        <v>0</v>
      </c>
      <c r="F131" s="9">
        <v>0</v>
      </c>
      <c r="G131" s="9">
        <v>0</v>
      </c>
      <c r="H131" s="9">
        <v>4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4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8</v>
      </c>
      <c r="Y131" s="9">
        <v>0</v>
      </c>
      <c r="Z131" s="9">
        <v>84</v>
      </c>
      <c r="AA131" s="9">
        <v>0</v>
      </c>
    </row>
    <row r="132" spans="1:27" x14ac:dyDescent="0.25">
      <c r="A132" s="9" t="s">
        <v>33</v>
      </c>
      <c r="B132" s="9" t="s">
        <v>27</v>
      </c>
      <c r="D132" s="9">
        <v>0</v>
      </c>
      <c r="E132" s="9">
        <v>0</v>
      </c>
      <c r="F132" s="9">
        <v>28</v>
      </c>
      <c r="G132" s="9">
        <v>0</v>
      </c>
      <c r="H132" s="9">
        <v>0</v>
      </c>
      <c r="I132" s="9">
        <v>0</v>
      </c>
      <c r="J132" s="9">
        <v>0</v>
      </c>
      <c r="K132" s="9">
        <v>4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16</v>
      </c>
      <c r="Y132" s="9">
        <v>0</v>
      </c>
      <c r="Z132" s="9">
        <v>52</v>
      </c>
      <c r="AA132" s="9">
        <v>0</v>
      </c>
    </row>
    <row r="133" spans="1:27" x14ac:dyDescent="0.25">
      <c r="A133" s="9" t="s">
        <v>33</v>
      </c>
      <c r="B133" s="9" t="s">
        <v>27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76</v>
      </c>
      <c r="Y133" s="9">
        <v>4</v>
      </c>
      <c r="Z133" s="9">
        <v>20</v>
      </c>
      <c r="AA133" s="9">
        <v>0</v>
      </c>
    </row>
    <row r="134" spans="1:27" x14ac:dyDescent="0.25">
      <c r="A134" s="9" t="s">
        <v>33</v>
      </c>
      <c r="B134" s="9" t="s">
        <v>27</v>
      </c>
      <c r="D134" s="9">
        <v>0</v>
      </c>
      <c r="E134" s="9">
        <v>0</v>
      </c>
      <c r="F134" s="9">
        <v>12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36</v>
      </c>
      <c r="Y134" s="9">
        <v>12</v>
      </c>
      <c r="Z134" s="9">
        <v>40</v>
      </c>
      <c r="AA134" s="9">
        <v>0</v>
      </c>
    </row>
    <row r="135" spans="1:27" x14ac:dyDescent="0.25">
      <c r="A135" s="9" t="s">
        <v>33</v>
      </c>
      <c r="B135" s="9" t="s">
        <v>27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12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40</v>
      </c>
      <c r="Y135" s="9">
        <v>0</v>
      </c>
      <c r="Z135" s="9">
        <v>44</v>
      </c>
      <c r="AA135" s="9">
        <v>4</v>
      </c>
    </row>
    <row r="136" spans="1:27" x14ac:dyDescent="0.25">
      <c r="A136" s="9" t="s">
        <v>33</v>
      </c>
      <c r="B136" s="9" t="s">
        <v>27</v>
      </c>
      <c r="D136" s="9">
        <v>0</v>
      </c>
      <c r="E136" s="9">
        <v>0</v>
      </c>
      <c r="F136" s="9">
        <v>12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4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24</v>
      </c>
      <c r="Y136" s="9">
        <v>0</v>
      </c>
      <c r="Z136" s="9">
        <v>56</v>
      </c>
      <c r="AA136" s="9">
        <v>4</v>
      </c>
    </row>
    <row r="137" spans="1:27" s="10" customFormat="1" x14ac:dyDescent="0.25">
      <c r="A137" s="10" t="s">
        <v>33</v>
      </c>
      <c r="B137" s="10" t="s">
        <v>27</v>
      </c>
      <c r="C137" s="10" t="s">
        <v>84</v>
      </c>
      <c r="D137" s="10">
        <v>2.4</v>
      </c>
      <c r="E137" s="10">
        <v>0</v>
      </c>
      <c r="F137" s="10">
        <v>4.8</v>
      </c>
      <c r="G137" s="10">
        <v>1.6</v>
      </c>
      <c r="H137" s="10">
        <v>0.266666666666667</v>
      </c>
      <c r="I137" s="10">
        <v>0</v>
      </c>
      <c r="J137" s="10">
        <v>0</v>
      </c>
      <c r="K137" s="10">
        <v>1.86666666666667</v>
      </c>
      <c r="L137" s="10">
        <v>0</v>
      </c>
      <c r="M137" s="10">
        <v>0</v>
      </c>
      <c r="N137" s="10">
        <v>0.8</v>
      </c>
      <c r="O137" s="10">
        <v>2.4</v>
      </c>
      <c r="P137" s="10">
        <v>0</v>
      </c>
      <c r="Q137" s="10">
        <v>0</v>
      </c>
      <c r="R137" s="10">
        <v>0.266666666666667</v>
      </c>
      <c r="S137" s="10">
        <v>0.53333333333333299</v>
      </c>
      <c r="T137" s="10">
        <v>0</v>
      </c>
      <c r="U137" s="10">
        <v>0</v>
      </c>
      <c r="V137" s="10">
        <v>0</v>
      </c>
      <c r="W137" s="10">
        <v>0</v>
      </c>
      <c r="X137" s="10">
        <v>28.533333333333299</v>
      </c>
      <c r="Y137" s="10">
        <v>1.06666666666667</v>
      </c>
      <c r="Z137" s="10">
        <v>54.4</v>
      </c>
      <c r="AA137" s="10">
        <v>1.06666666666667</v>
      </c>
    </row>
    <row r="138" spans="1:27" s="10" customFormat="1" x14ac:dyDescent="0.25">
      <c r="A138" s="10" t="s">
        <v>33</v>
      </c>
      <c r="B138" s="10" t="s">
        <v>27</v>
      </c>
      <c r="C138" s="10" t="s">
        <v>83</v>
      </c>
      <c r="D138" s="10">
        <v>6.72734292697666</v>
      </c>
      <c r="E138" s="10">
        <v>0</v>
      </c>
      <c r="F138" s="10">
        <v>8.1696301717309794</v>
      </c>
      <c r="G138" s="10">
        <v>6.1967733539318699</v>
      </c>
      <c r="H138" s="10">
        <v>1.03279555898864</v>
      </c>
      <c r="I138" s="10">
        <v>0</v>
      </c>
      <c r="J138" s="10">
        <v>0</v>
      </c>
      <c r="K138" s="10">
        <v>3.3352375513311698</v>
      </c>
      <c r="L138" s="10">
        <v>0</v>
      </c>
      <c r="M138" s="10">
        <v>0</v>
      </c>
      <c r="N138" s="10">
        <v>1.65615734242165</v>
      </c>
      <c r="O138" s="10">
        <v>6.1967733539318699</v>
      </c>
      <c r="P138" s="10">
        <v>0</v>
      </c>
      <c r="Q138" s="10">
        <v>0</v>
      </c>
      <c r="R138" s="10">
        <v>1.03279555898864</v>
      </c>
      <c r="S138" s="10">
        <v>2.0655911179772901</v>
      </c>
      <c r="T138" s="10">
        <v>0</v>
      </c>
      <c r="U138" s="10">
        <v>0</v>
      </c>
      <c r="V138" s="10">
        <v>0</v>
      </c>
      <c r="W138" s="10">
        <v>0</v>
      </c>
      <c r="X138" s="10">
        <v>20.049462645690799</v>
      </c>
      <c r="Y138" s="10">
        <v>3.1952345468719199</v>
      </c>
      <c r="Z138" s="10">
        <v>20.7185217343599</v>
      </c>
      <c r="AA138" s="10">
        <v>1.83095083286825</v>
      </c>
    </row>
    <row r="139" spans="1:27" s="10" customFormat="1" x14ac:dyDescent="0.25">
      <c r="A139" s="10" t="s">
        <v>33</v>
      </c>
      <c r="B139" s="10" t="s">
        <v>27</v>
      </c>
      <c r="C139" s="10" t="s">
        <v>82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24</v>
      </c>
      <c r="Y139" s="10">
        <v>0</v>
      </c>
      <c r="Z139" s="10">
        <v>52</v>
      </c>
      <c r="AA139" s="10">
        <v>0</v>
      </c>
    </row>
    <row r="140" spans="1:27" s="10" customFormat="1" x14ac:dyDescent="0.25">
      <c r="A140" s="10" t="s">
        <v>33</v>
      </c>
      <c r="B140" s="10" t="s">
        <v>27</v>
      </c>
      <c r="C140" s="10" t="s">
        <v>81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12</v>
      </c>
      <c r="Y140" s="10">
        <v>0</v>
      </c>
      <c r="Z140" s="10">
        <v>42</v>
      </c>
      <c r="AA140" s="10">
        <v>0</v>
      </c>
    </row>
    <row r="141" spans="1:27" s="10" customFormat="1" x14ac:dyDescent="0.25">
      <c r="A141" s="10" t="s">
        <v>33</v>
      </c>
      <c r="B141" s="10" t="s">
        <v>27</v>
      </c>
      <c r="C141" s="10" t="s">
        <v>80</v>
      </c>
      <c r="D141" s="10">
        <v>0</v>
      </c>
      <c r="E141" s="10">
        <v>0</v>
      </c>
      <c r="F141" s="10">
        <v>10</v>
      </c>
      <c r="G141" s="10">
        <v>0</v>
      </c>
      <c r="H141" s="10">
        <v>0</v>
      </c>
      <c r="I141" s="10">
        <v>0</v>
      </c>
      <c r="J141" s="10">
        <v>0</v>
      </c>
      <c r="K141" s="10">
        <v>4</v>
      </c>
      <c r="L141" s="10">
        <v>0</v>
      </c>
      <c r="M141" s="10">
        <v>0</v>
      </c>
      <c r="N141" s="10">
        <v>0</v>
      </c>
      <c r="O141" s="10">
        <v>2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40</v>
      </c>
      <c r="Y141" s="10">
        <v>0</v>
      </c>
      <c r="Z141" s="10">
        <v>66</v>
      </c>
      <c r="AA141" s="10">
        <v>2</v>
      </c>
    </row>
    <row r="142" spans="1:27" x14ac:dyDescent="0.25">
      <c r="A142" s="9" t="s">
        <v>33</v>
      </c>
      <c r="B142" s="9" t="s">
        <v>28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4</v>
      </c>
      <c r="L142" s="9">
        <v>0</v>
      </c>
      <c r="M142" s="9">
        <v>0</v>
      </c>
      <c r="N142" s="9">
        <v>0</v>
      </c>
      <c r="O142" s="9">
        <v>8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12</v>
      </c>
      <c r="Y142" s="9">
        <v>0</v>
      </c>
      <c r="Z142" s="9">
        <v>76</v>
      </c>
      <c r="AA142" s="9">
        <v>0</v>
      </c>
    </row>
    <row r="143" spans="1:27" x14ac:dyDescent="0.25">
      <c r="A143" s="9" t="s">
        <v>33</v>
      </c>
      <c r="B143" s="9" t="s">
        <v>28</v>
      </c>
      <c r="D143" s="9">
        <v>12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12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4</v>
      </c>
      <c r="Y143" s="9">
        <v>0</v>
      </c>
      <c r="Z143" s="9">
        <v>68</v>
      </c>
      <c r="AA143" s="9">
        <v>4</v>
      </c>
    </row>
    <row r="144" spans="1:27" x14ac:dyDescent="0.25">
      <c r="A144" s="9" t="s">
        <v>33</v>
      </c>
      <c r="B144" s="9" t="s">
        <v>28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8</v>
      </c>
      <c r="O144" s="9">
        <v>0</v>
      </c>
      <c r="P144" s="9">
        <v>0</v>
      </c>
      <c r="Q144" s="9">
        <v>8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84</v>
      </c>
      <c r="AA144" s="9">
        <v>0</v>
      </c>
    </row>
    <row r="145" spans="1:27" x14ac:dyDescent="0.25">
      <c r="A145" s="9" t="s">
        <v>33</v>
      </c>
      <c r="B145" s="9" t="s">
        <v>28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24</v>
      </c>
      <c r="O145" s="9">
        <v>12</v>
      </c>
      <c r="P145" s="9">
        <v>0</v>
      </c>
      <c r="Q145" s="9">
        <v>4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60</v>
      </c>
      <c r="AA145" s="9">
        <v>0</v>
      </c>
    </row>
    <row r="146" spans="1:27" x14ac:dyDescent="0.25">
      <c r="A146" s="9" t="s">
        <v>33</v>
      </c>
      <c r="B146" s="9" t="s">
        <v>28</v>
      </c>
      <c r="D146" s="9">
        <v>0</v>
      </c>
      <c r="E146" s="9">
        <v>0</v>
      </c>
      <c r="F146" s="9">
        <v>8</v>
      </c>
      <c r="G146" s="9">
        <v>0</v>
      </c>
      <c r="H146" s="9">
        <v>0</v>
      </c>
      <c r="I146" s="9">
        <v>0</v>
      </c>
      <c r="J146" s="9">
        <v>0</v>
      </c>
      <c r="K146" s="9">
        <v>4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20</v>
      </c>
      <c r="Y146" s="9">
        <v>0</v>
      </c>
      <c r="Z146" s="9">
        <v>64</v>
      </c>
      <c r="AA146" s="9">
        <v>4</v>
      </c>
    </row>
    <row r="147" spans="1:27" x14ac:dyDescent="0.25">
      <c r="A147" s="9" t="s">
        <v>33</v>
      </c>
      <c r="B147" s="9" t="s">
        <v>28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48</v>
      </c>
      <c r="Y147" s="9">
        <v>0</v>
      </c>
      <c r="Z147" s="9">
        <v>52</v>
      </c>
      <c r="AA147" s="9">
        <v>0</v>
      </c>
    </row>
    <row r="148" spans="1:27" x14ac:dyDescent="0.25">
      <c r="A148" s="9" t="s">
        <v>33</v>
      </c>
      <c r="B148" s="9" t="s">
        <v>28</v>
      </c>
      <c r="D148" s="9">
        <v>0</v>
      </c>
      <c r="E148" s="9">
        <v>0</v>
      </c>
      <c r="F148" s="9">
        <v>48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4</v>
      </c>
      <c r="Y148" s="9">
        <v>4</v>
      </c>
      <c r="Z148" s="9">
        <v>40</v>
      </c>
      <c r="AA148" s="9">
        <v>4</v>
      </c>
    </row>
    <row r="149" spans="1:27" x14ac:dyDescent="0.25">
      <c r="A149" s="9" t="s">
        <v>33</v>
      </c>
      <c r="B149" s="9" t="s">
        <v>28</v>
      </c>
      <c r="D149" s="9">
        <v>0</v>
      </c>
      <c r="E149" s="9">
        <v>0</v>
      </c>
      <c r="F149" s="9">
        <v>40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16</v>
      </c>
      <c r="Y149" s="9">
        <v>0</v>
      </c>
      <c r="Z149" s="9">
        <v>40</v>
      </c>
      <c r="AA149" s="9">
        <v>4</v>
      </c>
    </row>
    <row r="150" spans="1:27" x14ac:dyDescent="0.25">
      <c r="A150" s="9" t="s">
        <v>33</v>
      </c>
      <c r="B150" s="9" t="s">
        <v>28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4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24</v>
      </c>
      <c r="Y150" s="9">
        <v>0</v>
      </c>
      <c r="Z150" s="9">
        <v>72</v>
      </c>
      <c r="AA150" s="9">
        <v>0</v>
      </c>
    </row>
    <row r="151" spans="1:27" x14ac:dyDescent="0.25">
      <c r="A151" s="9" t="s">
        <v>33</v>
      </c>
      <c r="B151" s="9" t="s">
        <v>28</v>
      </c>
      <c r="D151" s="9">
        <v>4</v>
      </c>
      <c r="E151" s="9">
        <v>0</v>
      </c>
      <c r="F151" s="9">
        <v>12</v>
      </c>
      <c r="G151" s="9">
        <v>0</v>
      </c>
      <c r="H151" s="9">
        <v>0</v>
      </c>
      <c r="I151" s="9">
        <v>0</v>
      </c>
      <c r="J151" s="9">
        <v>0</v>
      </c>
      <c r="K151" s="9">
        <v>4</v>
      </c>
      <c r="L151" s="9">
        <v>0</v>
      </c>
      <c r="M151" s="9">
        <v>0</v>
      </c>
      <c r="N151" s="9">
        <v>0</v>
      </c>
      <c r="O151" s="9">
        <v>4</v>
      </c>
      <c r="P151" s="9">
        <v>0</v>
      </c>
      <c r="Q151" s="9">
        <v>0</v>
      </c>
      <c r="R151" s="9">
        <v>12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16</v>
      </c>
      <c r="Y151" s="9">
        <v>4</v>
      </c>
      <c r="Z151" s="9">
        <v>44</v>
      </c>
      <c r="AA151" s="9">
        <v>0</v>
      </c>
    </row>
    <row r="152" spans="1:27" x14ac:dyDescent="0.25">
      <c r="A152" s="9" t="s">
        <v>33</v>
      </c>
      <c r="B152" s="9" t="s">
        <v>28</v>
      </c>
      <c r="D152" s="9">
        <v>8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4</v>
      </c>
      <c r="P152" s="9">
        <v>0</v>
      </c>
      <c r="Q152" s="9">
        <v>8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20</v>
      </c>
      <c r="Y152" s="9">
        <v>0</v>
      </c>
      <c r="Z152" s="9">
        <v>60</v>
      </c>
      <c r="AA152" s="9">
        <v>0</v>
      </c>
    </row>
    <row r="153" spans="1:27" x14ac:dyDescent="0.25">
      <c r="A153" s="9" t="s">
        <v>33</v>
      </c>
      <c r="B153" s="9" t="s">
        <v>28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4</v>
      </c>
      <c r="O153" s="9">
        <v>0</v>
      </c>
      <c r="P153" s="9">
        <v>0</v>
      </c>
      <c r="Q153" s="9">
        <v>0</v>
      </c>
      <c r="R153" s="9">
        <v>4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92</v>
      </c>
      <c r="AA153" s="9">
        <v>0</v>
      </c>
    </row>
    <row r="154" spans="1:27" x14ac:dyDescent="0.25">
      <c r="A154" s="9" t="s">
        <v>33</v>
      </c>
      <c r="B154" s="9" t="s">
        <v>28</v>
      </c>
      <c r="D154" s="9">
        <v>16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4</v>
      </c>
      <c r="P154" s="9">
        <v>0</v>
      </c>
      <c r="Q154" s="9">
        <v>0</v>
      </c>
      <c r="R154" s="9">
        <v>8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8</v>
      </c>
      <c r="Y154" s="9">
        <v>0</v>
      </c>
      <c r="Z154" s="9">
        <v>64</v>
      </c>
      <c r="AA154" s="9">
        <v>0</v>
      </c>
    </row>
    <row r="155" spans="1:27" x14ac:dyDescent="0.25">
      <c r="A155" s="9" t="s">
        <v>33</v>
      </c>
      <c r="B155" s="9" t="s">
        <v>28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8</v>
      </c>
      <c r="P155" s="9">
        <v>0</v>
      </c>
      <c r="Q155" s="9">
        <v>0</v>
      </c>
      <c r="R155" s="9">
        <v>4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8</v>
      </c>
      <c r="Y155" s="9">
        <v>0</v>
      </c>
      <c r="Z155" s="9">
        <v>80</v>
      </c>
      <c r="AA155" s="9">
        <v>0</v>
      </c>
    </row>
    <row r="156" spans="1:27" x14ac:dyDescent="0.25">
      <c r="A156" s="9" t="s">
        <v>33</v>
      </c>
      <c r="B156" s="9" t="s">
        <v>28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4</v>
      </c>
      <c r="O156" s="9">
        <v>4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92</v>
      </c>
      <c r="AA156" s="9">
        <v>0</v>
      </c>
    </row>
    <row r="157" spans="1:27" s="10" customFormat="1" x14ac:dyDescent="0.25">
      <c r="A157" s="10" t="s">
        <v>33</v>
      </c>
      <c r="B157" s="10" t="s">
        <v>28</v>
      </c>
      <c r="C157" s="10" t="s">
        <v>84</v>
      </c>
      <c r="D157" s="10">
        <v>2.6666666666666701</v>
      </c>
      <c r="E157" s="10">
        <v>0</v>
      </c>
      <c r="F157" s="10">
        <v>7.2</v>
      </c>
      <c r="G157" s="10">
        <v>0</v>
      </c>
      <c r="H157" s="10">
        <v>0</v>
      </c>
      <c r="I157" s="10">
        <v>0</v>
      </c>
      <c r="J157" s="10">
        <v>0</v>
      </c>
      <c r="K157" s="10">
        <v>1.06666666666667</v>
      </c>
      <c r="L157" s="10">
        <v>0</v>
      </c>
      <c r="M157" s="10">
        <v>0</v>
      </c>
      <c r="N157" s="10">
        <v>2.6666666666666701</v>
      </c>
      <c r="O157" s="10">
        <v>3.7333333333333298</v>
      </c>
      <c r="P157" s="10">
        <v>0</v>
      </c>
      <c r="Q157" s="10">
        <v>1.3333333333333299</v>
      </c>
      <c r="R157" s="10">
        <v>1.86666666666667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12</v>
      </c>
      <c r="Y157" s="10">
        <v>0.53333333333333299</v>
      </c>
      <c r="Z157" s="10">
        <v>65.866666666666703</v>
      </c>
      <c r="AA157" s="10">
        <v>1.06666666666667</v>
      </c>
    </row>
    <row r="158" spans="1:27" s="10" customFormat="1" x14ac:dyDescent="0.25">
      <c r="A158" s="10" t="s">
        <v>33</v>
      </c>
      <c r="B158" s="10" t="s">
        <v>28</v>
      </c>
      <c r="C158" s="10" t="s">
        <v>83</v>
      </c>
      <c r="D158" s="10">
        <v>5.1639777949432197</v>
      </c>
      <c r="E158" s="10">
        <v>0</v>
      </c>
      <c r="F158" s="10">
        <v>15.4328036523319</v>
      </c>
      <c r="G158" s="10">
        <v>0</v>
      </c>
      <c r="H158" s="10">
        <v>0</v>
      </c>
      <c r="I158" s="10">
        <v>0</v>
      </c>
      <c r="J158" s="10">
        <v>0</v>
      </c>
      <c r="K158" s="10">
        <v>1.83095083286825</v>
      </c>
      <c r="L158" s="10">
        <v>0</v>
      </c>
      <c r="M158" s="10">
        <v>0</v>
      </c>
      <c r="N158" s="10">
        <v>6.3546008828999199</v>
      </c>
      <c r="O158" s="10">
        <v>4.3991341139343501</v>
      </c>
      <c r="P158" s="10">
        <v>0</v>
      </c>
      <c r="Q158" s="10">
        <v>2.8949874578229799</v>
      </c>
      <c r="R158" s="10">
        <v>3.6619016657365102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12.917319491951201</v>
      </c>
      <c r="Y158" s="10">
        <v>1.4074631010979901</v>
      </c>
      <c r="Z158" s="10">
        <v>17.162528396258502</v>
      </c>
      <c r="AA158" s="10">
        <v>1.83095083286825</v>
      </c>
    </row>
    <row r="159" spans="1:27" s="10" customFormat="1" x14ac:dyDescent="0.25">
      <c r="A159" s="10" t="s">
        <v>33</v>
      </c>
      <c r="B159" s="10" t="s">
        <v>28</v>
      </c>
      <c r="C159" s="10" t="s">
        <v>82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4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8</v>
      </c>
      <c r="Y159" s="10">
        <v>0</v>
      </c>
      <c r="Z159" s="10">
        <v>64</v>
      </c>
      <c r="AA159" s="10">
        <v>0</v>
      </c>
    </row>
    <row r="160" spans="1:27" s="10" customFormat="1" x14ac:dyDescent="0.25">
      <c r="A160" s="10" t="s">
        <v>33</v>
      </c>
      <c r="B160" s="10" t="s">
        <v>28</v>
      </c>
      <c r="C160" s="10" t="s">
        <v>81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2</v>
      </c>
      <c r="Y160" s="10">
        <v>0</v>
      </c>
      <c r="Z160" s="10">
        <v>56</v>
      </c>
      <c r="AA160" s="10">
        <v>0</v>
      </c>
    </row>
    <row r="161" spans="1:27" s="10" customFormat="1" x14ac:dyDescent="0.25">
      <c r="A161" s="10" t="s">
        <v>33</v>
      </c>
      <c r="B161" s="10" t="s">
        <v>28</v>
      </c>
      <c r="C161" s="10" t="s">
        <v>80</v>
      </c>
      <c r="D161" s="10">
        <v>2</v>
      </c>
      <c r="E161" s="10">
        <v>0</v>
      </c>
      <c r="F161" s="10">
        <v>4</v>
      </c>
      <c r="G161" s="10">
        <v>0</v>
      </c>
      <c r="H161" s="10">
        <v>0</v>
      </c>
      <c r="I161" s="10">
        <v>0</v>
      </c>
      <c r="J161" s="10">
        <v>0</v>
      </c>
      <c r="K161" s="10">
        <v>2</v>
      </c>
      <c r="L161" s="10">
        <v>0</v>
      </c>
      <c r="M161" s="10">
        <v>0</v>
      </c>
      <c r="N161" s="10">
        <v>2</v>
      </c>
      <c r="O161" s="10">
        <v>6</v>
      </c>
      <c r="P161" s="10">
        <v>0</v>
      </c>
      <c r="Q161" s="10">
        <v>0</v>
      </c>
      <c r="R161" s="10">
        <v>2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18</v>
      </c>
      <c r="Y161" s="10">
        <v>0</v>
      </c>
      <c r="Z161" s="10">
        <v>78</v>
      </c>
      <c r="AA161" s="10">
        <v>2</v>
      </c>
    </row>
    <row r="162" spans="1:27" x14ac:dyDescent="0.25">
      <c r="A162" s="9" t="s">
        <v>33</v>
      </c>
      <c r="B162" s="9" t="s">
        <v>29</v>
      </c>
      <c r="D162" s="9">
        <v>0</v>
      </c>
      <c r="E162" s="9">
        <v>0</v>
      </c>
      <c r="F162" s="9">
        <v>16</v>
      </c>
      <c r="G162" s="9">
        <v>4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8</v>
      </c>
      <c r="O162" s="9">
        <v>12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4</v>
      </c>
      <c r="Y162" s="9">
        <v>4</v>
      </c>
      <c r="Z162" s="9">
        <v>52</v>
      </c>
      <c r="AA162" s="9">
        <v>0</v>
      </c>
    </row>
    <row r="163" spans="1:27" x14ac:dyDescent="0.25">
      <c r="A163" s="9" t="s">
        <v>33</v>
      </c>
      <c r="B163" s="9" t="s">
        <v>29</v>
      </c>
      <c r="D163" s="9">
        <v>0</v>
      </c>
      <c r="E163" s="9">
        <v>0</v>
      </c>
      <c r="F163" s="9">
        <v>0</v>
      </c>
      <c r="G163" s="9">
        <v>0</v>
      </c>
      <c r="H163" s="9">
        <v>4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12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8</v>
      </c>
      <c r="Y163" s="9">
        <v>0</v>
      </c>
      <c r="Z163" s="9">
        <v>76</v>
      </c>
      <c r="AA163" s="9">
        <v>0</v>
      </c>
    </row>
    <row r="164" spans="1:27" x14ac:dyDescent="0.25">
      <c r="A164" s="9" t="s">
        <v>33</v>
      </c>
      <c r="B164" s="9" t="s">
        <v>29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16</v>
      </c>
      <c r="P164" s="9">
        <v>0</v>
      </c>
      <c r="Q164" s="9">
        <v>0</v>
      </c>
      <c r="R164" s="9">
        <v>0</v>
      </c>
      <c r="S164" s="9">
        <v>0</v>
      </c>
      <c r="T164" s="9">
        <v>8</v>
      </c>
      <c r="U164" s="9">
        <v>0</v>
      </c>
      <c r="V164" s="9">
        <v>0</v>
      </c>
      <c r="W164" s="9">
        <v>0</v>
      </c>
      <c r="X164" s="9">
        <v>8</v>
      </c>
      <c r="Y164" s="9">
        <v>0</v>
      </c>
      <c r="Z164" s="9">
        <v>68</v>
      </c>
      <c r="AA164" s="9">
        <v>0</v>
      </c>
    </row>
    <row r="165" spans="1:27" x14ac:dyDescent="0.25">
      <c r="A165" s="9" t="s">
        <v>33</v>
      </c>
      <c r="B165" s="9" t="s">
        <v>29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100</v>
      </c>
      <c r="AA165" s="9">
        <v>0</v>
      </c>
    </row>
    <row r="166" spans="1:27" x14ac:dyDescent="0.25">
      <c r="A166" s="9" t="s">
        <v>33</v>
      </c>
      <c r="B166" s="9" t="s">
        <v>29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4</v>
      </c>
      <c r="O166" s="9">
        <v>12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4</v>
      </c>
      <c r="Y166" s="9">
        <v>0</v>
      </c>
      <c r="Z166" s="9">
        <v>80</v>
      </c>
      <c r="AA166" s="9">
        <v>0</v>
      </c>
    </row>
    <row r="167" spans="1:27" x14ac:dyDescent="0.25">
      <c r="A167" s="9" t="s">
        <v>33</v>
      </c>
      <c r="B167" s="9" t="s">
        <v>29</v>
      </c>
      <c r="D167" s="9">
        <v>8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4</v>
      </c>
      <c r="O167" s="9">
        <v>4</v>
      </c>
      <c r="P167" s="9">
        <v>0</v>
      </c>
      <c r="Q167" s="9">
        <v>0</v>
      </c>
      <c r="R167" s="9">
        <v>8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20</v>
      </c>
      <c r="Y167" s="9">
        <v>0</v>
      </c>
      <c r="Z167" s="9">
        <v>56</v>
      </c>
      <c r="AA167" s="9">
        <v>0</v>
      </c>
    </row>
    <row r="168" spans="1:27" x14ac:dyDescent="0.25">
      <c r="A168" s="9" t="s">
        <v>33</v>
      </c>
      <c r="B168" s="9" t="s">
        <v>29</v>
      </c>
      <c r="D168" s="9">
        <v>40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4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4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32</v>
      </c>
      <c r="Y168" s="9">
        <v>0</v>
      </c>
      <c r="Z168" s="9">
        <v>16</v>
      </c>
      <c r="AA168" s="9">
        <v>4</v>
      </c>
    </row>
    <row r="169" spans="1:27" x14ac:dyDescent="0.25">
      <c r="A169" s="9" t="s">
        <v>33</v>
      </c>
      <c r="B169" s="9" t="s">
        <v>29</v>
      </c>
      <c r="D169" s="9">
        <v>0</v>
      </c>
      <c r="E169" s="9">
        <v>0</v>
      </c>
      <c r="F169" s="9">
        <v>0</v>
      </c>
      <c r="G169" s="9">
        <v>0</v>
      </c>
      <c r="H169" s="9">
        <v>4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4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24</v>
      </c>
      <c r="Y169" s="9">
        <v>12</v>
      </c>
      <c r="Z169" s="9">
        <v>56</v>
      </c>
      <c r="AA169" s="9">
        <v>0</v>
      </c>
    </row>
    <row r="170" spans="1:27" x14ac:dyDescent="0.25">
      <c r="A170" s="9" t="s">
        <v>33</v>
      </c>
      <c r="B170" s="9" t="s">
        <v>29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4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40</v>
      </c>
      <c r="Y170" s="9">
        <v>0</v>
      </c>
      <c r="Z170" s="9">
        <v>56</v>
      </c>
      <c r="AA170" s="9">
        <v>0</v>
      </c>
    </row>
    <row r="171" spans="1:27" x14ac:dyDescent="0.25">
      <c r="A171" s="9" t="s">
        <v>33</v>
      </c>
      <c r="B171" s="9" t="s">
        <v>29</v>
      </c>
      <c r="D171" s="9">
        <v>0</v>
      </c>
      <c r="E171" s="9">
        <v>0</v>
      </c>
      <c r="F171" s="9">
        <v>8</v>
      </c>
      <c r="G171" s="9">
        <v>0</v>
      </c>
      <c r="H171" s="9">
        <v>0</v>
      </c>
      <c r="I171" s="9">
        <v>0</v>
      </c>
      <c r="J171" s="9">
        <v>0</v>
      </c>
      <c r="K171" s="9">
        <v>4</v>
      </c>
      <c r="L171" s="9">
        <v>0</v>
      </c>
      <c r="M171" s="9">
        <v>0</v>
      </c>
      <c r="N171" s="9">
        <v>0</v>
      </c>
      <c r="O171" s="9">
        <v>4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64</v>
      </c>
      <c r="Y171" s="9">
        <v>0</v>
      </c>
      <c r="Z171" s="9">
        <v>20</v>
      </c>
      <c r="AA171" s="9">
        <v>0</v>
      </c>
    </row>
    <row r="172" spans="1:27" x14ac:dyDescent="0.25">
      <c r="A172" s="9" t="s">
        <v>33</v>
      </c>
      <c r="B172" s="9" t="s">
        <v>29</v>
      </c>
      <c r="D172" s="9">
        <v>4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4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48</v>
      </c>
      <c r="Y172" s="9">
        <v>4</v>
      </c>
      <c r="Z172" s="9">
        <v>40</v>
      </c>
      <c r="AA172" s="9">
        <v>0</v>
      </c>
    </row>
    <row r="173" spans="1:27" x14ac:dyDescent="0.25">
      <c r="A173" s="9" t="s">
        <v>33</v>
      </c>
      <c r="B173" s="9" t="s">
        <v>29</v>
      </c>
      <c r="D173" s="9">
        <v>8</v>
      </c>
      <c r="E173" s="9">
        <v>0</v>
      </c>
      <c r="F173" s="9">
        <v>28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4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12</v>
      </c>
      <c r="Y173" s="9">
        <v>0</v>
      </c>
      <c r="Z173" s="9">
        <v>44</v>
      </c>
      <c r="AA173" s="9">
        <v>4</v>
      </c>
    </row>
    <row r="174" spans="1:27" x14ac:dyDescent="0.25">
      <c r="A174" s="9" t="s">
        <v>33</v>
      </c>
      <c r="B174" s="9" t="s">
        <v>29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16</v>
      </c>
      <c r="Y174" s="9">
        <v>4</v>
      </c>
      <c r="Z174" s="9">
        <v>76</v>
      </c>
      <c r="AA174" s="9">
        <v>4</v>
      </c>
    </row>
    <row r="175" spans="1:27" x14ac:dyDescent="0.25">
      <c r="A175" s="9" t="s">
        <v>33</v>
      </c>
      <c r="B175" s="9" t="s">
        <v>29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12</v>
      </c>
      <c r="Y175" s="9">
        <v>16</v>
      </c>
      <c r="Z175" s="9">
        <v>72</v>
      </c>
      <c r="AA175" s="9">
        <v>0</v>
      </c>
    </row>
    <row r="176" spans="1:27" x14ac:dyDescent="0.25">
      <c r="A176" s="9" t="s">
        <v>33</v>
      </c>
      <c r="B176" s="9" t="s">
        <v>29</v>
      </c>
      <c r="D176" s="9">
        <v>0</v>
      </c>
      <c r="E176" s="9">
        <v>0</v>
      </c>
      <c r="F176" s="9">
        <v>8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16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8</v>
      </c>
      <c r="Y176" s="9">
        <v>0</v>
      </c>
      <c r="Z176" s="9">
        <v>68</v>
      </c>
      <c r="AA176" s="9">
        <v>0</v>
      </c>
    </row>
    <row r="177" spans="1:27" s="10" customFormat="1" x14ac:dyDescent="0.25">
      <c r="A177" s="10" t="s">
        <v>33</v>
      </c>
      <c r="B177" s="10" t="s">
        <v>29</v>
      </c>
      <c r="C177" s="10" t="s">
        <v>84</v>
      </c>
      <c r="D177" s="10">
        <v>4</v>
      </c>
      <c r="E177" s="10">
        <v>0</v>
      </c>
      <c r="F177" s="10">
        <v>4</v>
      </c>
      <c r="G177" s="10">
        <v>0.266666666666667</v>
      </c>
      <c r="H177" s="10">
        <v>0.53333333333333299</v>
      </c>
      <c r="I177" s="10">
        <v>0</v>
      </c>
      <c r="J177" s="10">
        <v>0</v>
      </c>
      <c r="K177" s="10">
        <v>0.8</v>
      </c>
      <c r="L177" s="10">
        <v>0</v>
      </c>
      <c r="M177" s="10">
        <v>0</v>
      </c>
      <c r="N177" s="10">
        <v>1.06666666666667</v>
      </c>
      <c r="O177" s="10">
        <v>5.06666666666667</v>
      </c>
      <c r="P177" s="10">
        <v>0</v>
      </c>
      <c r="Q177" s="10">
        <v>0</v>
      </c>
      <c r="R177" s="10">
        <v>1.6</v>
      </c>
      <c r="S177" s="10">
        <v>0</v>
      </c>
      <c r="T177" s="10">
        <v>0.53333333333333299</v>
      </c>
      <c r="U177" s="10">
        <v>0</v>
      </c>
      <c r="V177" s="10">
        <v>0</v>
      </c>
      <c r="W177" s="10">
        <v>0</v>
      </c>
      <c r="X177" s="10">
        <v>20</v>
      </c>
      <c r="Y177" s="10">
        <v>2.6666666666666701</v>
      </c>
      <c r="Z177" s="10">
        <v>58.6666666666667</v>
      </c>
      <c r="AA177" s="10">
        <v>0.8</v>
      </c>
    </row>
    <row r="178" spans="1:27" s="10" customFormat="1" x14ac:dyDescent="0.25">
      <c r="A178" s="10" t="s">
        <v>33</v>
      </c>
      <c r="B178" s="10" t="s">
        <v>29</v>
      </c>
      <c r="C178" s="10" t="s">
        <v>83</v>
      </c>
      <c r="D178" s="10">
        <v>10.3647755126955</v>
      </c>
      <c r="E178" s="10">
        <v>0</v>
      </c>
      <c r="F178" s="10">
        <v>8.1416039135857208</v>
      </c>
      <c r="G178" s="10">
        <v>1.03279555898864</v>
      </c>
      <c r="H178" s="10">
        <v>1.4074631010979901</v>
      </c>
      <c r="I178" s="10">
        <v>0</v>
      </c>
      <c r="J178" s="10">
        <v>0</v>
      </c>
      <c r="K178" s="10">
        <v>1.65615734242165</v>
      </c>
      <c r="L178" s="10">
        <v>0</v>
      </c>
      <c r="M178" s="10">
        <v>0</v>
      </c>
      <c r="N178" s="10">
        <v>2.37446735881865</v>
      </c>
      <c r="O178" s="10">
        <v>6.4968857008203402</v>
      </c>
      <c r="P178" s="10">
        <v>0</v>
      </c>
      <c r="Q178" s="10">
        <v>0</v>
      </c>
      <c r="R178" s="10">
        <v>2.5298221281347</v>
      </c>
      <c r="S178" s="10">
        <v>0</v>
      </c>
      <c r="T178" s="10">
        <v>2.0655911179772901</v>
      </c>
      <c r="U178" s="10">
        <v>0</v>
      </c>
      <c r="V178" s="10">
        <v>0</v>
      </c>
      <c r="W178" s="10">
        <v>0</v>
      </c>
      <c r="X178" s="10">
        <v>18.454577442234399</v>
      </c>
      <c r="Y178" s="10">
        <v>4.9377071987869403</v>
      </c>
      <c r="Z178" s="10">
        <v>22.4584272018535</v>
      </c>
      <c r="AA178" s="10">
        <v>1.65615734242165</v>
      </c>
    </row>
    <row r="179" spans="1:27" s="10" customFormat="1" x14ac:dyDescent="0.25">
      <c r="A179" s="10" t="s">
        <v>33</v>
      </c>
      <c r="B179" s="10" t="s">
        <v>29</v>
      </c>
      <c r="C179" s="10" t="s">
        <v>82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12</v>
      </c>
      <c r="Y179" s="10">
        <v>0</v>
      </c>
      <c r="Z179" s="10">
        <v>56</v>
      </c>
      <c r="AA179" s="10">
        <v>0</v>
      </c>
    </row>
    <row r="180" spans="1:27" s="10" customFormat="1" x14ac:dyDescent="0.25">
      <c r="A180" s="10" t="s">
        <v>33</v>
      </c>
      <c r="B180" s="10" t="s">
        <v>29</v>
      </c>
      <c r="C180" s="10" t="s">
        <v>81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8</v>
      </c>
      <c r="Y180" s="10">
        <v>0</v>
      </c>
      <c r="Z180" s="10">
        <v>48</v>
      </c>
      <c r="AA180" s="10">
        <v>0</v>
      </c>
    </row>
    <row r="181" spans="1:27" s="10" customFormat="1" x14ac:dyDescent="0.25">
      <c r="A181" s="10" t="s">
        <v>33</v>
      </c>
      <c r="B181" s="10" t="s">
        <v>29</v>
      </c>
      <c r="C181" s="10" t="s">
        <v>80</v>
      </c>
      <c r="D181" s="10">
        <v>2</v>
      </c>
      <c r="E181" s="10">
        <v>0</v>
      </c>
      <c r="F181" s="10">
        <v>4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12</v>
      </c>
      <c r="P181" s="10">
        <v>0</v>
      </c>
      <c r="Q181" s="10">
        <v>0</v>
      </c>
      <c r="R181" s="10">
        <v>4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28</v>
      </c>
      <c r="Y181" s="10">
        <v>4</v>
      </c>
      <c r="Z181" s="10">
        <v>74</v>
      </c>
      <c r="AA181" s="10">
        <v>0</v>
      </c>
    </row>
    <row r="182" spans="1:27" x14ac:dyDescent="0.25">
      <c r="A182" s="9" t="s">
        <v>33</v>
      </c>
      <c r="B182" s="9" t="s">
        <v>30</v>
      </c>
      <c r="D182" s="9">
        <v>0</v>
      </c>
      <c r="E182" s="9">
        <v>0</v>
      </c>
      <c r="F182" s="9">
        <v>0</v>
      </c>
      <c r="G182" s="9">
        <v>4</v>
      </c>
      <c r="H182" s="9">
        <v>0</v>
      </c>
      <c r="I182" s="9">
        <v>0</v>
      </c>
      <c r="J182" s="9">
        <v>4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4</v>
      </c>
      <c r="V182" s="9">
        <v>0</v>
      </c>
      <c r="W182" s="9">
        <v>0</v>
      </c>
      <c r="X182" s="9">
        <v>20</v>
      </c>
      <c r="Y182" s="9">
        <v>0</v>
      </c>
      <c r="Z182" s="9">
        <v>68</v>
      </c>
      <c r="AA182" s="9">
        <v>0</v>
      </c>
    </row>
    <row r="183" spans="1:27" x14ac:dyDescent="0.25">
      <c r="A183" s="9" t="s">
        <v>33</v>
      </c>
      <c r="B183" s="9" t="s">
        <v>30</v>
      </c>
      <c r="D183" s="9">
        <v>0</v>
      </c>
      <c r="E183" s="9">
        <v>0</v>
      </c>
      <c r="F183" s="9">
        <v>0</v>
      </c>
      <c r="G183" s="9">
        <v>52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12</v>
      </c>
      <c r="Y183" s="9">
        <v>8</v>
      </c>
      <c r="Z183" s="9">
        <v>24</v>
      </c>
      <c r="AA183" s="9">
        <v>4</v>
      </c>
    </row>
    <row r="184" spans="1:27" x14ac:dyDescent="0.25">
      <c r="A184" s="9" t="s">
        <v>33</v>
      </c>
      <c r="B184" s="9" t="s">
        <v>30</v>
      </c>
      <c r="D184" s="9">
        <v>28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4</v>
      </c>
      <c r="V184" s="9">
        <v>0</v>
      </c>
      <c r="W184" s="9">
        <v>0</v>
      </c>
      <c r="X184" s="9">
        <v>32</v>
      </c>
      <c r="Y184" s="9">
        <v>0</v>
      </c>
      <c r="Z184" s="9">
        <v>36</v>
      </c>
      <c r="AA184" s="9">
        <v>0</v>
      </c>
    </row>
    <row r="185" spans="1:27" x14ac:dyDescent="0.25">
      <c r="A185" s="9" t="s">
        <v>33</v>
      </c>
      <c r="B185" s="9" t="s">
        <v>30</v>
      </c>
      <c r="D185" s="9">
        <v>20</v>
      </c>
      <c r="E185" s="9">
        <v>0</v>
      </c>
      <c r="F185" s="9">
        <v>12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4</v>
      </c>
      <c r="P185" s="9">
        <v>0</v>
      </c>
      <c r="Q185" s="9">
        <v>0</v>
      </c>
      <c r="R185" s="9">
        <v>4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28</v>
      </c>
      <c r="Y185" s="9">
        <v>0</v>
      </c>
      <c r="Z185" s="9">
        <v>32</v>
      </c>
      <c r="AA185" s="9">
        <v>0</v>
      </c>
    </row>
    <row r="186" spans="1:27" x14ac:dyDescent="0.25">
      <c r="A186" s="9" t="s">
        <v>33</v>
      </c>
      <c r="B186" s="9" t="s">
        <v>30</v>
      </c>
      <c r="D186" s="9">
        <v>0</v>
      </c>
      <c r="E186" s="9">
        <v>0</v>
      </c>
      <c r="F186" s="9">
        <v>4</v>
      </c>
      <c r="G186" s="9">
        <v>0</v>
      </c>
      <c r="H186" s="9">
        <v>4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28</v>
      </c>
      <c r="Y186" s="9">
        <v>0</v>
      </c>
      <c r="Z186" s="9">
        <v>60</v>
      </c>
      <c r="AA186" s="9">
        <v>4</v>
      </c>
    </row>
    <row r="187" spans="1:27" x14ac:dyDescent="0.25">
      <c r="A187" s="9" t="s">
        <v>33</v>
      </c>
      <c r="B187" s="9" t="s">
        <v>30</v>
      </c>
      <c r="D187" s="9">
        <v>0</v>
      </c>
      <c r="E187" s="9">
        <v>0</v>
      </c>
      <c r="F187" s="9">
        <v>8</v>
      </c>
      <c r="G187" s="9">
        <v>0</v>
      </c>
      <c r="H187" s="9">
        <v>0</v>
      </c>
      <c r="I187" s="9">
        <v>0</v>
      </c>
      <c r="J187" s="9">
        <v>0</v>
      </c>
      <c r="K187" s="9">
        <v>4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12</v>
      </c>
      <c r="Y187" s="9">
        <v>0</v>
      </c>
      <c r="Z187" s="9">
        <v>76</v>
      </c>
      <c r="AA187" s="9">
        <v>0</v>
      </c>
    </row>
    <row r="188" spans="1:27" x14ac:dyDescent="0.25">
      <c r="A188" s="9" t="s">
        <v>33</v>
      </c>
      <c r="B188" s="9" t="s">
        <v>30</v>
      </c>
      <c r="D188" s="9">
        <v>0</v>
      </c>
      <c r="E188" s="9">
        <v>0</v>
      </c>
      <c r="F188" s="9">
        <v>0</v>
      </c>
      <c r="G188" s="9">
        <v>20</v>
      </c>
      <c r="H188" s="9">
        <v>0</v>
      </c>
      <c r="I188" s="9">
        <v>0</v>
      </c>
      <c r="J188" s="9">
        <v>0</v>
      </c>
      <c r="K188" s="9">
        <v>4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32</v>
      </c>
      <c r="Y188" s="9">
        <v>0</v>
      </c>
      <c r="Z188" s="9">
        <v>44</v>
      </c>
      <c r="AA188" s="9">
        <v>0</v>
      </c>
    </row>
    <row r="189" spans="1:27" x14ac:dyDescent="0.25">
      <c r="A189" s="9" t="s">
        <v>33</v>
      </c>
      <c r="B189" s="9" t="s">
        <v>30</v>
      </c>
      <c r="D189" s="9">
        <v>8</v>
      </c>
      <c r="E189" s="9">
        <v>0</v>
      </c>
      <c r="F189" s="9">
        <v>0</v>
      </c>
      <c r="G189" s="9">
        <v>0</v>
      </c>
      <c r="H189" s="9">
        <v>4</v>
      </c>
      <c r="I189" s="9">
        <v>0</v>
      </c>
      <c r="J189" s="9">
        <v>0</v>
      </c>
      <c r="K189" s="9">
        <v>4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8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32</v>
      </c>
      <c r="Y189" s="9">
        <v>0</v>
      </c>
      <c r="Z189" s="9">
        <v>36</v>
      </c>
      <c r="AA189" s="9">
        <v>8</v>
      </c>
    </row>
    <row r="190" spans="1:27" x14ac:dyDescent="0.25">
      <c r="A190" s="9" t="s">
        <v>33</v>
      </c>
      <c r="B190" s="9" t="s">
        <v>30</v>
      </c>
      <c r="D190" s="9">
        <v>0</v>
      </c>
      <c r="E190" s="9">
        <v>0</v>
      </c>
      <c r="F190" s="9">
        <v>0</v>
      </c>
      <c r="G190" s="9">
        <v>0</v>
      </c>
      <c r="H190" s="9">
        <v>4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4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32</v>
      </c>
      <c r="Y190" s="9">
        <v>0</v>
      </c>
      <c r="Z190" s="9">
        <v>56</v>
      </c>
      <c r="AA190" s="9">
        <v>4</v>
      </c>
    </row>
    <row r="191" spans="1:27" x14ac:dyDescent="0.25">
      <c r="A191" s="9" t="s">
        <v>33</v>
      </c>
      <c r="B191" s="9" t="s">
        <v>30</v>
      </c>
      <c r="D191" s="9">
        <v>0</v>
      </c>
      <c r="E191" s="9">
        <v>0</v>
      </c>
      <c r="F191" s="9">
        <v>0</v>
      </c>
      <c r="G191" s="9">
        <v>0</v>
      </c>
      <c r="H191" s="9">
        <v>12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4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40</v>
      </c>
      <c r="Y191" s="9">
        <v>0</v>
      </c>
      <c r="Z191" s="9">
        <v>40</v>
      </c>
      <c r="AA191" s="9">
        <v>4</v>
      </c>
    </row>
    <row r="192" spans="1:27" x14ac:dyDescent="0.25">
      <c r="A192" s="9" t="s">
        <v>33</v>
      </c>
      <c r="B192" s="9" t="s">
        <v>30</v>
      </c>
      <c r="D192" s="9">
        <v>0</v>
      </c>
      <c r="E192" s="9">
        <v>0</v>
      </c>
      <c r="F192" s="9">
        <v>0</v>
      </c>
      <c r="G192" s="9">
        <v>16</v>
      </c>
      <c r="H192" s="9">
        <v>0</v>
      </c>
      <c r="I192" s="9">
        <v>0</v>
      </c>
      <c r="J192" s="9">
        <v>0</v>
      </c>
      <c r="K192" s="9">
        <v>4</v>
      </c>
      <c r="L192" s="9">
        <v>0</v>
      </c>
      <c r="M192" s="9">
        <v>0</v>
      </c>
      <c r="N192" s="9">
        <v>4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36</v>
      </c>
      <c r="Y192" s="9">
        <v>4</v>
      </c>
      <c r="Z192" s="9">
        <v>32</v>
      </c>
      <c r="AA192" s="9">
        <v>4</v>
      </c>
    </row>
    <row r="193" spans="1:27" x14ac:dyDescent="0.25">
      <c r="A193" s="9" t="s">
        <v>33</v>
      </c>
      <c r="B193" s="9" t="s">
        <v>30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8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76</v>
      </c>
      <c r="Y193" s="9">
        <v>4</v>
      </c>
      <c r="Z193" s="9">
        <v>12</v>
      </c>
      <c r="AA193" s="9">
        <v>0</v>
      </c>
    </row>
    <row r="194" spans="1:27" x14ac:dyDescent="0.25">
      <c r="A194" s="9" t="s">
        <v>33</v>
      </c>
      <c r="B194" s="9" t="s">
        <v>30</v>
      </c>
      <c r="D194" s="9">
        <v>44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4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20</v>
      </c>
      <c r="Y194" s="9">
        <v>4</v>
      </c>
      <c r="Z194" s="9">
        <v>28</v>
      </c>
      <c r="AA194" s="9">
        <v>0</v>
      </c>
    </row>
    <row r="195" spans="1:27" x14ac:dyDescent="0.25">
      <c r="A195" s="9" t="s">
        <v>33</v>
      </c>
      <c r="B195" s="9" t="s">
        <v>30</v>
      </c>
      <c r="D195" s="9">
        <v>0</v>
      </c>
      <c r="E195" s="9">
        <v>0</v>
      </c>
      <c r="F195" s="9">
        <v>0</v>
      </c>
      <c r="G195" s="9">
        <v>40</v>
      </c>
      <c r="H195" s="9">
        <v>0</v>
      </c>
      <c r="I195" s="9">
        <v>0</v>
      </c>
      <c r="J195" s="9">
        <v>0</v>
      </c>
      <c r="K195" s="9">
        <v>8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12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28</v>
      </c>
      <c r="Y195" s="9">
        <v>0</v>
      </c>
      <c r="Z195" s="9">
        <v>12</v>
      </c>
      <c r="AA195" s="9">
        <v>0</v>
      </c>
    </row>
    <row r="196" spans="1:27" x14ac:dyDescent="0.25">
      <c r="A196" s="9" t="s">
        <v>33</v>
      </c>
      <c r="B196" s="9" t="s">
        <v>30</v>
      </c>
      <c r="D196" s="9">
        <v>0</v>
      </c>
      <c r="E196" s="9">
        <v>0</v>
      </c>
      <c r="F196" s="9">
        <v>16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8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8</v>
      </c>
      <c r="Y196" s="9">
        <v>0</v>
      </c>
      <c r="Z196" s="9">
        <v>68</v>
      </c>
      <c r="AA196" s="9">
        <v>0</v>
      </c>
    </row>
    <row r="197" spans="1:27" s="10" customFormat="1" x14ac:dyDescent="0.25">
      <c r="A197" s="10" t="s">
        <v>33</v>
      </c>
      <c r="B197" s="10" t="s">
        <v>30</v>
      </c>
      <c r="C197" s="10" t="s">
        <v>84</v>
      </c>
      <c r="D197" s="10">
        <v>6.6666666666666696</v>
      </c>
      <c r="E197" s="10">
        <v>0</v>
      </c>
      <c r="F197" s="10">
        <v>2.6666666666666701</v>
      </c>
      <c r="G197" s="10">
        <v>8.8000000000000007</v>
      </c>
      <c r="H197" s="10">
        <v>1.6</v>
      </c>
      <c r="I197" s="10">
        <v>0</v>
      </c>
      <c r="J197" s="10">
        <v>0.266666666666667</v>
      </c>
      <c r="K197" s="10">
        <v>2.4</v>
      </c>
      <c r="L197" s="10">
        <v>0</v>
      </c>
      <c r="M197" s="10">
        <v>0</v>
      </c>
      <c r="N197" s="10">
        <v>0.266666666666667</v>
      </c>
      <c r="O197" s="10">
        <v>0.53333333333333299</v>
      </c>
      <c r="P197" s="10">
        <v>0</v>
      </c>
      <c r="Q197" s="10">
        <v>0</v>
      </c>
      <c r="R197" s="10">
        <v>2.4</v>
      </c>
      <c r="S197" s="10">
        <v>0</v>
      </c>
      <c r="T197" s="10">
        <v>0</v>
      </c>
      <c r="U197" s="10">
        <v>0.53333333333333299</v>
      </c>
      <c r="V197" s="10">
        <v>0</v>
      </c>
      <c r="W197" s="10">
        <v>0</v>
      </c>
      <c r="X197" s="10">
        <v>29.066666666666698</v>
      </c>
      <c r="Y197" s="10">
        <v>1.3333333333333299</v>
      </c>
      <c r="Z197" s="10">
        <v>41.6</v>
      </c>
      <c r="AA197" s="10">
        <v>1.86666666666667</v>
      </c>
    </row>
    <row r="198" spans="1:27" s="10" customFormat="1" x14ac:dyDescent="0.25">
      <c r="A198" s="10" t="s">
        <v>33</v>
      </c>
      <c r="B198" s="10" t="s">
        <v>30</v>
      </c>
      <c r="C198" s="10" t="s">
        <v>83</v>
      </c>
      <c r="D198" s="10">
        <v>13.409307357560399</v>
      </c>
      <c r="E198" s="10">
        <v>0</v>
      </c>
      <c r="F198" s="10">
        <v>5.1639777949432197</v>
      </c>
      <c r="G198" s="10">
        <v>16.5062758627482</v>
      </c>
      <c r="H198" s="10">
        <v>3.3123146848433</v>
      </c>
      <c r="I198" s="10">
        <v>0</v>
      </c>
      <c r="J198" s="10">
        <v>1.03279555898864</v>
      </c>
      <c r="K198" s="10">
        <v>2.9471535904520301</v>
      </c>
      <c r="L198" s="10">
        <v>0</v>
      </c>
      <c r="M198" s="10">
        <v>0</v>
      </c>
      <c r="N198" s="10">
        <v>1.03279555898864</v>
      </c>
      <c r="O198" s="10">
        <v>1.4074631010979901</v>
      </c>
      <c r="P198" s="10">
        <v>0</v>
      </c>
      <c r="Q198" s="10">
        <v>0</v>
      </c>
      <c r="R198" s="10">
        <v>3.9424430424366501</v>
      </c>
      <c r="S198" s="10">
        <v>0</v>
      </c>
      <c r="T198" s="10">
        <v>0</v>
      </c>
      <c r="U198" s="10">
        <v>1.4074631010979901</v>
      </c>
      <c r="V198" s="10">
        <v>0</v>
      </c>
      <c r="W198" s="10">
        <v>0</v>
      </c>
      <c r="X198" s="10">
        <v>16.033298683261201</v>
      </c>
      <c r="Y198" s="10">
        <v>2.4688535993934702</v>
      </c>
      <c r="Z198" s="10">
        <v>20.045662159893102</v>
      </c>
      <c r="AA198" s="10">
        <v>2.5597618936887399</v>
      </c>
    </row>
    <row r="199" spans="1:27" s="10" customFormat="1" x14ac:dyDescent="0.25">
      <c r="A199" s="10" t="s">
        <v>33</v>
      </c>
      <c r="B199" s="10" t="s">
        <v>30</v>
      </c>
      <c r="C199" s="10" t="s">
        <v>82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28</v>
      </c>
      <c r="Y199" s="10">
        <v>0</v>
      </c>
      <c r="Z199" s="10">
        <v>36</v>
      </c>
      <c r="AA199" s="10">
        <v>0</v>
      </c>
    </row>
    <row r="200" spans="1:27" s="10" customFormat="1" x14ac:dyDescent="0.25">
      <c r="A200" s="10" t="s">
        <v>33</v>
      </c>
      <c r="B200" s="10" t="s">
        <v>30</v>
      </c>
      <c r="C200" s="10" t="s">
        <v>81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20</v>
      </c>
      <c r="Y200" s="10">
        <v>0</v>
      </c>
      <c r="Z200" s="10">
        <v>30</v>
      </c>
      <c r="AA200" s="10">
        <v>0</v>
      </c>
    </row>
    <row r="201" spans="1:27" s="10" customFormat="1" x14ac:dyDescent="0.25">
      <c r="A201" s="10" t="s">
        <v>33</v>
      </c>
      <c r="B201" s="10" t="s">
        <v>30</v>
      </c>
      <c r="C201" s="10" t="s">
        <v>80</v>
      </c>
      <c r="D201" s="10">
        <v>4</v>
      </c>
      <c r="E201" s="10">
        <v>0</v>
      </c>
      <c r="F201" s="10">
        <v>2</v>
      </c>
      <c r="G201" s="10">
        <v>10</v>
      </c>
      <c r="H201" s="10">
        <v>2</v>
      </c>
      <c r="I201" s="10">
        <v>0</v>
      </c>
      <c r="J201" s="10">
        <v>0</v>
      </c>
      <c r="K201" s="10">
        <v>4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4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32</v>
      </c>
      <c r="Y201" s="10">
        <v>2</v>
      </c>
      <c r="Z201" s="10">
        <v>58</v>
      </c>
      <c r="AA201" s="10">
        <v>4</v>
      </c>
    </row>
    <row r="202" spans="1:27" x14ac:dyDescent="0.25">
      <c r="A202" s="9" t="s">
        <v>33</v>
      </c>
      <c r="B202" s="9" t="s">
        <v>31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16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84</v>
      </c>
      <c r="AA202" s="9">
        <v>0</v>
      </c>
    </row>
    <row r="203" spans="1:27" x14ac:dyDescent="0.25">
      <c r="A203" s="9" t="s">
        <v>33</v>
      </c>
      <c r="B203" s="9" t="s">
        <v>31</v>
      </c>
      <c r="D203" s="9">
        <v>20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4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12</v>
      </c>
      <c r="Y203" s="9">
        <v>0</v>
      </c>
      <c r="Z203" s="9">
        <v>64</v>
      </c>
      <c r="AA203" s="9">
        <v>0</v>
      </c>
    </row>
    <row r="204" spans="1:27" x14ac:dyDescent="0.25">
      <c r="A204" s="9" t="s">
        <v>33</v>
      </c>
      <c r="B204" s="9" t="s">
        <v>31</v>
      </c>
      <c r="D204" s="9">
        <v>0</v>
      </c>
      <c r="E204" s="9">
        <v>0</v>
      </c>
      <c r="F204" s="9">
        <v>0</v>
      </c>
      <c r="G204" s="9">
        <v>8</v>
      </c>
      <c r="H204" s="9">
        <v>0</v>
      </c>
      <c r="I204" s="9">
        <v>0</v>
      </c>
      <c r="J204" s="9">
        <v>0</v>
      </c>
      <c r="K204" s="9">
        <v>8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4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32</v>
      </c>
      <c r="Y204" s="9">
        <v>0</v>
      </c>
      <c r="Z204" s="9">
        <v>48</v>
      </c>
      <c r="AA204" s="9">
        <v>0</v>
      </c>
    </row>
    <row r="205" spans="1:27" x14ac:dyDescent="0.25">
      <c r="A205" s="9" t="s">
        <v>33</v>
      </c>
      <c r="B205" s="9" t="s">
        <v>31</v>
      </c>
      <c r="D205" s="9">
        <v>0</v>
      </c>
      <c r="E205" s="9">
        <v>0</v>
      </c>
      <c r="F205" s="9">
        <v>0</v>
      </c>
      <c r="G205" s="9">
        <v>64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20</v>
      </c>
      <c r="Y205" s="9">
        <v>0</v>
      </c>
      <c r="Z205" s="9">
        <v>16</v>
      </c>
      <c r="AA205" s="9">
        <v>0</v>
      </c>
    </row>
    <row r="206" spans="1:27" x14ac:dyDescent="0.25">
      <c r="A206" s="9" t="s">
        <v>33</v>
      </c>
      <c r="B206" s="9" t="s">
        <v>31</v>
      </c>
      <c r="D206" s="9">
        <v>56</v>
      </c>
      <c r="E206" s="9">
        <v>0</v>
      </c>
      <c r="F206" s="9">
        <v>16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4</v>
      </c>
      <c r="Y206" s="9">
        <v>0</v>
      </c>
      <c r="Z206" s="9">
        <v>24</v>
      </c>
      <c r="AA206" s="9">
        <v>0</v>
      </c>
    </row>
    <row r="207" spans="1:27" x14ac:dyDescent="0.25">
      <c r="A207" s="9" t="s">
        <v>33</v>
      </c>
      <c r="B207" s="9" t="s">
        <v>31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40</v>
      </c>
      <c r="Y207" s="9">
        <v>0</v>
      </c>
      <c r="Z207" s="9">
        <v>56</v>
      </c>
      <c r="AA207" s="9">
        <v>4</v>
      </c>
    </row>
    <row r="208" spans="1:27" x14ac:dyDescent="0.25">
      <c r="A208" s="9" t="s">
        <v>33</v>
      </c>
      <c r="B208" s="9" t="s">
        <v>31</v>
      </c>
      <c r="D208" s="9">
        <v>0</v>
      </c>
      <c r="E208" s="9">
        <v>0</v>
      </c>
      <c r="F208" s="9">
        <v>8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32</v>
      </c>
      <c r="Y208" s="9">
        <v>8</v>
      </c>
      <c r="Z208" s="9">
        <v>52</v>
      </c>
      <c r="AA208" s="9">
        <v>0</v>
      </c>
    </row>
    <row r="209" spans="1:27" x14ac:dyDescent="0.25">
      <c r="A209" s="9" t="s">
        <v>33</v>
      </c>
      <c r="B209" s="9" t="s">
        <v>31</v>
      </c>
      <c r="D209" s="9">
        <v>0</v>
      </c>
      <c r="E209" s="9">
        <v>0</v>
      </c>
      <c r="F209" s="9">
        <v>52</v>
      </c>
      <c r="G209" s="9">
        <v>0</v>
      </c>
      <c r="H209" s="9">
        <v>0</v>
      </c>
      <c r="I209" s="9">
        <v>0</v>
      </c>
      <c r="J209" s="9">
        <v>0</v>
      </c>
      <c r="K209" s="9">
        <v>4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24</v>
      </c>
      <c r="Y209" s="9">
        <v>0</v>
      </c>
      <c r="Z209" s="9">
        <v>20</v>
      </c>
      <c r="AA209" s="9">
        <v>0</v>
      </c>
    </row>
    <row r="210" spans="1:27" x14ac:dyDescent="0.25">
      <c r="A210" s="9" t="s">
        <v>33</v>
      </c>
      <c r="B210" s="9" t="s">
        <v>31</v>
      </c>
      <c r="D210" s="9">
        <v>0</v>
      </c>
      <c r="E210" s="9">
        <v>0</v>
      </c>
      <c r="F210" s="9">
        <v>40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16</v>
      </c>
      <c r="Y210" s="9">
        <v>0</v>
      </c>
      <c r="Z210" s="9">
        <v>44</v>
      </c>
      <c r="AA210" s="9">
        <v>0</v>
      </c>
    </row>
    <row r="211" spans="1:27" x14ac:dyDescent="0.25">
      <c r="A211" s="9" t="s">
        <v>33</v>
      </c>
      <c r="B211" s="9" t="s">
        <v>31</v>
      </c>
      <c r="D211" s="9">
        <v>8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52</v>
      </c>
      <c r="Y211" s="9">
        <v>0</v>
      </c>
      <c r="Z211" s="9">
        <v>36</v>
      </c>
      <c r="AA211" s="9">
        <v>4</v>
      </c>
    </row>
    <row r="212" spans="1:27" x14ac:dyDescent="0.25">
      <c r="A212" s="9" t="s">
        <v>33</v>
      </c>
      <c r="B212" s="9" t="s">
        <v>31</v>
      </c>
      <c r="D212" s="9">
        <v>0</v>
      </c>
      <c r="E212" s="9">
        <v>76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4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4</v>
      </c>
      <c r="Y212" s="9">
        <v>0</v>
      </c>
      <c r="Z212" s="9">
        <v>16</v>
      </c>
      <c r="AA212" s="9">
        <v>0</v>
      </c>
    </row>
    <row r="213" spans="1:27" x14ac:dyDescent="0.25">
      <c r="A213" s="9" t="s">
        <v>33</v>
      </c>
      <c r="B213" s="9" t="s">
        <v>31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4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4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24</v>
      </c>
      <c r="Y213" s="9">
        <v>0</v>
      </c>
      <c r="Z213" s="9">
        <v>68</v>
      </c>
      <c r="AA213" s="9">
        <v>0</v>
      </c>
    </row>
    <row r="214" spans="1:27" x14ac:dyDescent="0.25">
      <c r="A214" s="9" t="s">
        <v>33</v>
      </c>
      <c r="B214" s="9" t="s">
        <v>31</v>
      </c>
      <c r="D214" s="9">
        <v>20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8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20</v>
      </c>
      <c r="Y214" s="9">
        <v>0</v>
      </c>
      <c r="Z214" s="9">
        <v>52</v>
      </c>
      <c r="AA214" s="9">
        <v>0</v>
      </c>
    </row>
    <row r="215" spans="1:27" x14ac:dyDescent="0.25">
      <c r="A215" s="9" t="s">
        <v>33</v>
      </c>
      <c r="B215" s="9" t="s">
        <v>31</v>
      </c>
      <c r="D215" s="9">
        <v>40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4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32</v>
      </c>
      <c r="Y215" s="9">
        <v>0</v>
      </c>
      <c r="Z215" s="9">
        <v>24</v>
      </c>
      <c r="AA215" s="9">
        <v>0</v>
      </c>
    </row>
    <row r="216" spans="1:27" x14ac:dyDescent="0.25">
      <c r="A216" s="9" t="s">
        <v>33</v>
      </c>
      <c r="B216" s="9" t="s">
        <v>31</v>
      </c>
      <c r="D216" s="9">
        <v>0</v>
      </c>
      <c r="E216" s="9">
        <v>0</v>
      </c>
      <c r="F216" s="9">
        <v>8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4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88</v>
      </c>
      <c r="AA216" s="9">
        <v>0</v>
      </c>
    </row>
    <row r="217" spans="1:27" s="10" customFormat="1" x14ac:dyDescent="0.25">
      <c r="A217" s="10" t="s">
        <v>33</v>
      </c>
      <c r="B217" s="10" t="s">
        <v>31</v>
      </c>
      <c r="C217" s="10" t="s">
        <v>84</v>
      </c>
      <c r="D217" s="10">
        <v>9.6</v>
      </c>
      <c r="E217" s="10">
        <v>5.06666666666667</v>
      </c>
      <c r="F217" s="10">
        <v>8.2666666666666693</v>
      </c>
      <c r="G217" s="10">
        <v>4.8</v>
      </c>
      <c r="H217" s="10">
        <v>0</v>
      </c>
      <c r="I217" s="10">
        <v>0</v>
      </c>
      <c r="J217" s="10">
        <v>0</v>
      </c>
      <c r="K217" s="10">
        <v>2.4</v>
      </c>
      <c r="L217" s="10">
        <v>0.266666666666667</v>
      </c>
      <c r="M217" s="10">
        <v>0</v>
      </c>
      <c r="N217" s="10">
        <v>0</v>
      </c>
      <c r="O217" s="10">
        <v>0.266666666666667</v>
      </c>
      <c r="P217" s="10">
        <v>0</v>
      </c>
      <c r="Q217" s="10">
        <v>0</v>
      </c>
      <c r="R217" s="10">
        <v>1.3333333333333299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20.8</v>
      </c>
      <c r="Y217" s="10">
        <v>0.53333333333333299</v>
      </c>
      <c r="Z217" s="10">
        <v>46.133333333333297</v>
      </c>
      <c r="AA217" s="10">
        <v>0.53333333333333299</v>
      </c>
    </row>
    <row r="218" spans="1:27" s="10" customFormat="1" x14ac:dyDescent="0.25">
      <c r="A218" s="10" t="s">
        <v>33</v>
      </c>
      <c r="B218" s="10" t="s">
        <v>31</v>
      </c>
      <c r="C218" s="10" t="s">
        <v>83</v>
      </c>
      <c r="D218" s="10">
        <v>17.3567607247765</v>
      </c>
      <c r="E218" s="10">
        <v>19.623115620784201</v>
      </c>
      <c r="F218" s="10">
        <v>16.175230917612701</v>
      </c>
      <c r="G218" s="10">
        <v>16.5062758627482</v>
      </c>
      <c r="H218" s="10">
        <v>0</v>
      </c>
      <c r="I218" s="10">
        <v>0</v>
      </c>
      <c r="J218" s="10">
        <v>0</v>
      </c>
      <c r="K218" s="10">
        <v>4.4848952846510999</v>
      </c>
      <c r="L218" s="10">
        <v>1.03279555898864</v>
      </c>
      <c r="M218" s="10">
        <v>0</v>
      </c>
      <c r="N218" s="10">
        <v>0</v>
      </c>
      <c r="O218" s="10">
        <v>1.03279555898864</v>
      </c>
      <c r="P218" s="10">
        <v>0</v>
      </c>
      <c r="Q218" s="10">
        <v>0</v>
      </c>
      <c r="R218" s="10">
        <v>2.4688535993934702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15.2839785396342</v>
      </c>
      <c r="Y218" s="10">
        <v>2.0655911179772901</v>
      </c>
      <c r="Z218" s="10">
        <v>23.5125093352049</v>
      </c>
      <c r="AA218" s="10">
        <v>1.4074631010979901</v>
      </c>
    </row>
    <row r="219" spans="1:27" s="10" customFormat="1" x14ac:dyDescent="0.25">
      <c r="A219" s="10" t="s">
        <v>33</v>
      </c>
      <c r="B219" s="10" t="s">
        <v>31</v>
      </c>
      <c r="C219" s="10" t="s">
        <v>82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20</v>
      </c>
      <c r="Y219" s="10">
        <v>0</v>
      </c>
      <c r="Z219" s="10">
        <v>48</v>
      </c>
      <c r="AA219" s="10">
        <v>0</v>
      </c>
    </row>
    <row r="220" spans="1:27" s="10" customFormat="1" x14ac:dyDescent="0.25">
      <c r="A220" s="10" t="s">
        <v>33</v>
      </c>
      <c r="B220" s="10" t="s">
        <v>31</v>
      </c>
      <c r="C220" s="10" t="s">
        <v>81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8</v>
      </c>
      <c r="Y220" s="10">
        <v>0</v>
      </c>
      <c r="Z220" s="10">
        <v>24</v>
      </c>
      <c r="AA220" s="10">
        <v>0</v>
      </c>
    </row>
    <row r="221" spans="1:27" s="10" customFormat="1" x14ac:dyDescent="0.25">
      <c r="A221" s="10" t="s">
        <v>33</v>
      </c>
      <c r="B221" s="10" t="s">
        <v>31</v>
      </c>
      <c r="C221" s="10" t="s">
        <v>80</v>
      </c>
      <c r="D221" s="10">
        <v>14</v>
      </c>
      <c r="E221" s="10">
        <v>0</v>
      </c>
      <c r="F221" s="10">
        <v>8</v>
      </c>
      <c r="G221" s="10">
        <v>0</v>
      </c>
      <c r="H221" s="10">
        <v>0</v>
      </c>
      <c r="I221" s="10">
        <v>0</v>
      </c>
      <c r="J221" s="10">
        <v>0</v>
      </c>
      <c r="K221" s="10">
        <v>4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2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32</v>
      </c>
      <c r="Y221" s="10">
        <v>0</v>
      </c>
      <c r="Z221" s="10">
        <v>60</v>
      </c>
      <c r="AA221" s="10">
        <v>0</v>
      </c>
    </row>
    <row r="222" spans="1:27" x14ac:dyDescent="0.25">
      <c r="A222" s="9" t="s">
        <v>33</v>
      </c>
      <c r="B222" s="9" t="s">
        <v>32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100</v>
      </c>
      <c r="AA222" s="9">
        <v>0</v>
      </c>
    </row>
    <row r="223" spans="1:27" x14ac:dyDescent="0.25">
      <c r="A223" s="9" t="s">
        <v>33</v>
      </c>
      <c r="B223" s="9" t="s">
        <v>32</v>
      </c>
      <c r="D223" s="9">
        <v>0</v>
      </c>
      <c r="E223" s="9">
        <v>0</v>
      </c>
      <c r="F223" s="9">
        <v>4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20</v>
      </c>
      <c r="Y223" s="9">
        <v>0</v>
      </c>
      <c r="Z223" s="9">
        <v>76</v>
      </c>
      <c r="AA223" s="9">
        <v>0</v>
      </c>
    </row>
    <row r="224" spans="1:27" x14ac:dyDescent="0.25">
      <c r="A224" s="9" t="s">
        <v>33</v>
      </c>
      <c r="B224" s="9" t="s">
        <v>32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12</v>
      </c>
      <c r="Y224" s="9">
        <v>0</v>
      </c>
      <c r="Z224" s="9">
        <v>88</v>
      </c>
      <c r="AA224" s="9">
        <v>0</v>
      </c>
    </row>
    <row r="225" spans="1:27" x14ac:dyDescent="0.25">
      <c r="A225" s="9" t="s">
        <v>33</v>
      </c>
      <c r="B225" s="9" t="s">
        <v>32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16</v>
      </c>
      <c r="Y225" s="9">
        <v>0</v>
      </c>
      <c r="Z225" s="9">
        <v>80</v>
      </c>
      <c r="AA225" s="9">
        <v>4</v>
      </c>
    </row>
    <row r="226" spans="1:27" x14ac:dyDescent="0.25">
      <c r="A226" s="9" t="s">
        <v>33</v>
      </c>
      <c r="B226" s="9" t="s">
        <v>32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4</v>
      </c>
      <c r="O226" s="9">
        <v>4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4</v>
      </c>
      <c r="Y226" s="9">
        <v>0</v>
      </c>
      <c r="Z226" s="9">
        <v>88</v>
      </c>
      <c r="AA226" s="9">
        <v>0</v>
      </c>
    </row>
    <row r="227" spans="1:27" x14ac:dyDescent="0.25">
      <c r="A227" s="9" t="s">
        <v>33</v>
      </c>
      <c r="B227" s="9" t="s">
        <v>32</v>
      </c>
      <c r="D227" s="9">
        <v>0</v>
      </c>
      <c r="E227" s="9">
        <v>0</v>
      </c>
      <c r="F227" s="9">
        <v>16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4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4</v>
      </c>
      <c r="Y227" s="9">
        <v>0</v>
      </c>
      <c r="Z227" s="9">
        <v>72</v>
      </c>
      <c r="AA227" s="9">
        <v>4</v>
      </c>
    </row>
    <row r="228" spans="1:27" x14ac:dyDescent="0.25">
      <c r="A228" s="9" t="s">
        <v>33</v>
      </c>
      <c r="B228" s="9" t="s">
        <v>32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40</v>
      </c>
      <c r="O228" s="9">
        <v>32</v>
      </c>
      <c r="P228" s="9">
        <v>0</v>
      </c>
      <c r="Q228" s="9">
        <v>0</v>
      </c>
      <c r="R228" s="9">
        <v>4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24</v>
      </c>
      <c r="AA228" s="9">
        <v>0</v>
      </c>
    </row>
    <row r="229" spans="1:27" x14ac:dyDescent="0.25">
      <c r="A229" s="9" t="s">
        <v>33</v>
      </c>
      <c r="B229" s="9" t="s">
        <v>32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72</v>
      </c>
      <c r="O229" s="9">
        <v>4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24</v>
      </c>
      <c r="AA229" s="9">
        <v>0</v>
      </c>
    </row>
    <row r="230" spans="1:27" x14ac:dyDescent="0.25">
      <c r="A230" s="9" t="s">
        <v>33</v>
      </c>
      <c r="B230" s="9" t="s">
        <v>32</v>
      </c>
      <c r="D230" s="9">
        <v>16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4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56</v>
      </c>
      <c r="Y230" s="9">
        <v>0</v>
      </c>
      <c r="Z230" s="9">
        <v>24</v>
      </c>
      <c r="AA230" s="9">
        <v>0</v>
      </c>
    </row>
    <row r="231" spans="1:27" x14ac:dyDescent="0.25">
      <c r="A231" s="9" t="s">
        <v>33</v>
      </c>
      <c r="B231" s="9" t="s">
        <v>32</v>
      </c>
      <c r="D231" s="9">
        <v>0</v>
      </c>
      <c r="E231" s="9">
        <v>12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8</v>
      </c>
      <c r="P231" s="9">
        <v>0</v>
      </c>
      <c r="Q231" s="9">
        <v>0</v>
      </c>
      <c r="R231" s="9">
        <v>4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8</v>
      </c>
      <c r="Y231" s="9">
        <v>0</v>
      </c>
      <c r="Z231" s="9">
        <v>68</v>
      </c>
      <c r="AA231" s="9">
        <v>0</v>
      </c>
    </row>
    <row r="232" spans="1:27" x14ac:dyDescent="0.25">
      <c r="A232" s="9" t="s">
        <v>33</v>
      </c>
      <c r="B232" s="9" t="s">
        <v>32</v>
      </c>
      <c r="D232" s="9">
        <v>0</v>
      </c>
      <c r="E232" s="9">
        <v>40</v>
      </c>
      <c r="F232" s="9">
        <v>8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4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28</v>
      </c>
      <c r="Y232" s="9">
        <v>0</v>
      </c>
      <c r="Z232" s="9">
        <v>20</v>
      </c>
      <c r="AA232" s="9">
        <v>0</v>
      </c>
    </row>
    <row r="233" spans="1:27" x14ac:dyDescent="0.25">
      <c r="A233" s="9" t="s">
        <v>33</v>
      </c>
      <c r="B233" s="9" t="s">
        <v>32</v>
      </c>
      <c r="D233" s="9">
        <v>0</v>
      </c>
      <c r="E233" s="9">
        <v>68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8</v>
      </c>
      <c r="L233" s="9">
        <v>0</v>
      </c>
      <c r="M233" s="9">
        <v>0</v>
      </c>
      <c r="N233" s="9">
        <v>4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8</v>
      </c>
      <c r="Y233" s="9">
        <v>0</v>
      </c>
      <c r="Z233" s="9">
        <v>12</v>
      </c>
      <c r="AA233" s="9">
        <v>0</v>
      </c>
    </row>
    <row r="234" spans="1:27" x14ac:dyDescent="0.25">
      <c r="A234" s="9" t="s">
        <v>33</v>
      </c>
      <c r="B234" s="9" t="s">
        <v>32</v>
      </c>
      <c r="D234" s="9">
        <v>20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4</v>
      </c>
      <c r="O234" s="9">
        <v>0</v>
      </c>
      <c r="P234" s="9">
        <v>0</v>
      </c>
      <c r="Q234" s="9">
        <v>0</v>
      </c>
      <c r="R234" s="9">
        <v>4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36</v>
      </c>
      <c r="Y234" s="9">
        <v>0</v>
      </c>
      <c r="Z234" s="9">
        <v>36</v>
      </c>
      <c r="AA234" s="9">
        <v>0</v>
      </c>
    </row>
    <row r="235" spans="1:27" x14ac:dyDescent="0.25">
      <c r="A235" s="9" t="s">
        <v>33</v>
      </c>
      <c r="B235" s="9" t="s">
        <v>32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32</v>
      </c>
      <c r="P235" s="9">
        <v>0</v>
      </c>
      <c r="Q235" s="9">
        <v>0</v>
      </c>
      <c r="R235" s="9">
        <v>4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64</v>
      </c>
      <c r="AA235" s="9">
        <v>0</v>
      </c>
    </row>
    <row r="236" spans="1:27" x14ac:dyDescent="0.25">
      <c r="A236" s="9" t="s">
        <v>33</v>
      </c>
      <c r="B236" s="9" t="s">
        <v>32</v>
      </c>
      <c r="D236" s="9">
        <v>0</v>
      </c>
      <c r="E236" s="9">
        <v>0</v>
      </c>
      <c r="F236" s="9">
        <v>16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4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80</v>
      </c>
      <c r="AA236" s="9">
        <v>0</v>
      </c>
    </row>
    <row r="237" spans="1:27" s="10" customFormat="1" x14ac:dyDescent="0.25">
      <c r="A237" s="10" t="s">
        <v>33</v>
      </c>
      <c r="B237" s="10" t="s">
        <v>32</v>
      </c>
      <c r="C237" s="10" t="s">
        <v>84</v>
      </c>
      <c r="D237" s="10">
        <v>2.4</v>
      </c>
      <c r="E237" s="10">
        <v>8</v>
      </c>
      <c r="F237" s="10">
        <v>2.93333333333333</v>
      </c>
      <c r="G237" s="10">
        <v>0</v>
      </c>
      <c r="H237" s="10">
        <v>0</v>
      </c>
      <c r="I237" s="10">
        <v>0</v>
      </c>
      <c r="J237" s="10">
        <v>0</v>
      </c>
      <c r="K237" s="10">
        <v>0.53333333333333299</v>
      </c>
      <c r="L237" s="10">
        <v>0</v>
      </c>
      <c r="M237" s="10">
        <v>0</v>
      </c>
      <c r="N237" s="10">
        <v>8.8000000000000007</v>
      </c>
      <c r="O237" s="10">
        <v>5.3333333333333304</v>
      </c>
      <c r="P237" s="10">
        <v>0</v>
      </c>
      <c r="Q237" s="10">
        <v>0</v>
      </c>
      <c r="R237" s="10">
        <v>1.6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12.8</v>
      </c>
      <c r="Y237" s="10">
        <v>0</v>
      </c>
      <c r="Z237" s="10">
        <v>57.066666666666698</v>
      </c>
      <c r="AA237" s="10">
        <v>0.53333333333333299</v>
      </c>
    </row>
    <row r="238" spans="1:27" s="10" customFormat="1" x14ac:dyDescent="0.25">
      <c r="A238" s="10" t="s">
        <v>33</v>
      </c>
      <c r="B238" s="10" t="s">
        <v>32</v>
      </c>
      <c r="C238" s="10" t="s">
        <v>83</v>
      </c>
      <c r="D238" s="10">
        <v>6.37853543422895</v>
      </c>
      <c r="E238" s="10">
        <v>19.654152596479801</v>
      </c>
      <c r="F238" s="10">
        <v>5.7503623074260899</v>
      </c>
      <c r="G238" s="10">
        <v>0</v>
      </c>
      <c r="H238" s="10">
        <v>0</v>
      </c>
      <c r="I238" s="10">
        <v>0</v>
      </c>
      <c r="J238" s="10">
        <v>0</v>
      </c>
      <c r="K238" s="10">
        <v>2.0655911179772901</v>
      </c>
      <c r="L238" s="10">
        <v>0</v>
      </c>
      <c r="M238" s="10">
        <v>0</v>
      </c>
      <c r="N238" s="10">
        <v>20.182028780930001</v>
      </c>
      <c r="O238" s="10">
        <v>11.075498483890801</v>
      </c>
      <c r="P238" s="10">
        <v>0</v>
      </c>
      <c r="Q238" s="10">
        <v>0</v>
      </c>
      <c r="R238" s="10">
        <v>2.0283702113484399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16.297239029970701</v>
      </c>
      <c r="Y238" s="10">
        <v>0</v>
      </c>
      <c r="Z238" s="10">
        <v>30.1033141665419</v>
      </c>
      <c r="AA238" s="10">
        <v>1.4074631010979901</v>
      </c>
    </row>
    <row r="239" spans="1:27" s="10" customFormat="1" x14ac:dyDescent="0.25">
      <c r="A239" s="10" t="s">
        <v>33</v>
      </c>
      <c r="B239" s="10" t="s">
        <v>32</v>
      </c>
      <c r="C239" s="10" t="s">
        <v>82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8</v>
      </c>
      <c r="Y239" s="10">
        <v>0</v>
      </c>
      <c r="Z239" s="10">
        <v>68</v>
      </c>
      <c r="AA239" s="10">
        <v>0</v>
      </c>
    </row>
    <row r="240" spans="1:27" s="10" customFormat="1" x14ac:dyDescent="0.25">
      <c r="A240" s="10" t="s">
        <v>33</v>
      </c>
      <c r="B240" s="10" t="s">
        <v>32</v>
      </c>
      <c r="C240" s="10" t="s">
        <v>81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24</v>
      </c>
      <c r="AA240" s="10">
        <v>0</v>
      </c>
    </row>
    <row r="241" spans="1:27" s="10" customFormat="1" x14ac:dyDescent="0.25">
      <c r="A241" s="10" t="s">
        <v>33</v>
      </c>
      <c r="B241" s="10" t="s">
        <v>32</v>
      </c>
      <c r="C241" s="10" t="s">
        <v>80</v>
      </c>
      <c r="D241" s="10">
        <v>0</v>
      </c>
      <c r="E241" s="10">
        <v>0</v>
      </c>
      <c r="F241" s="10">
        <v>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4</v>
      </c>
      <c r="O241" s="10">
        <v>4</v>
      </c>
      <c r="P241" s="10">
        <v>0</v>
      </c>
      <c r="Q241" s="10">
        <v>0</v>
      </c>
      <c r="R241" s="10">
        <v>4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18</v>
      </c>
      <c r="Y241" s="10">
        <v>0</v>
      </c>
      <c r="Z241" s="10">
        <v>80</v>
      </c>
      <c r="AA241" s="10">
        <v>0</v>
      </c>
    </row>
    <row r="242" spans="1:27" x14ac:dyDescent="0.25">
      <c r="A242" s="9" t="s">
        <v>34</v>
      </c>
      <c r="B242" s="9" t="s">
        <v>27</v>
      </c>
      <c r="D242" s="9">
        <v>0</v>
      </c>
      <c r="E242" s="9">
        <v>0</v>
      </c>
      <c r="F242" s="9">
        <v>12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4</v>
      </c>
      <c r="P242" s="9">
        <v>0</v>
      </c>
      <c r="Q242" s="9">
        <v>4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12</v>
      </c>
      <c r="Y242" s="9">
        <v>16</v>
      </c>
      <c r="Z242" s="9">
        <v>52</v>
      </c>
      <c r="AA242" s="9">
        <v>0</v>
      </c>
    </row>
    <row r="243" spans="1:27" x14ac:dyDescent="0.25">
      <c r="A243" s="9" t="s">
        <v>34</v>
      </c>
      <c r="B243" s="9" t="s">
        <v>27</v>
      </c>
      <c r="D243" s="9">
        <v>0</v>
      </c>
      <c r="E243" s="9">
        <v>0</v>
      </c>
      <c r="F243" s="9">
        <v>20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4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12</v>
      </c>
      <c r="Y243" s="9">
        <v>0</v>
      </c>
      <c r="Z243" s="9">
        <v>64</v>
      </c>
      <c r="AA243" s="9">
        <v>0</v>
      </c>
    </row>
    <row r="244" spans="1:27" x14ac:dyDescent="0.25">
      <c r="A244" s="9" t="s">
        <v>34</v>
      </c>
      <c r="B244" s="9" t="s">
        <v>27</v>
      </c>
      <c r="D244" s="9">
        <v>0</v>
      </c>
      <c r="E244" s="9">
        <v>0</v>
      </c>
      <c r="F244" s="9">
        <v>12</v>
      </c>
      <c r="G244" s="9">
        <v>0</v>
      </c>
      <c r="H244" s="9">
        <v>0</v>
      </c>
      <c r="I244" s="9">
        <v>0</v>
      </c>
      <c r="J244" s="9">
        <v>0</v>
      </c>
      <c r="K244" s="9">
        <v>4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4</v>
      </c>
      <c r="V244" s="9">
        <v>0</v>
      </c>
      <c r="W244" s="9">
        <v>0</v>
      </c>
      <c r="X244" s="9">
        <v>56</v>
      </c>
      <c r="Y244" s="9">
        <v>4</v>
      </c>
      <c r="Z244" s="9">
        <v>20</v>
      </c>
      <c r="AA244" s="9">
        <v>0</v>
      </c>
    </row>
    <row r="245" spans="1:27" x14ac:dyDescent="0.25">
      <c r="A245" s="9" t="s">
        <v>34</v>
      </c>
      <c r="B245" s="9" t="s">
        <v>27</v>
      </c>
      <c r="D245" s="9">
        <v>4</v>
      </c>
      <c r="E245" s="9">
        <v>0</v>
      </c>
      <c r="F245" s="9">
        <v>24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8</v>
      </c>
      <c r="Y245" s="9">
        <v>0</v>
      </c>
      <c r="Z245" s="9">
        <v>64</v>
      </c>
      <c r="AA245" s="9">
        <v>0</v>
      </c>
    </row>
    <row r="246" spans="1:27" x14ac:dyDescent="0.25">
      <c r="A246" s="9" t="s">
        <v>34</v>
      </c>
      <c r="B246" s="9" t="s">
        <v>27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4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28</v>
      </c>
      <c r="Y246" s="9">
        <v>4</v>
      </c>
      <c r="Z246" s="9">
        <v>64</v>
      </c>
      <c r="AA246" s="9">
        <v>0</v>
      </c>
    </row>
    <row r="247" spans="1:27" x14ac:dyDescent="0.25">
      <c r="A247" s="9" t="s">
        <v>34</v>
      </c>
      <c r="B247" s="9" t="s">
        <v>27</v>
      </c>
      <c r="D247" s="9">
        <v>0</v>
      </c>
      <c r="E247" s="9">
        <v>0</v>
      </c>
      <c r="F247" s="9">
        <v>20</v>
      </c>
      <c r="G247" s="9">
        <v>0</v>
      </c>
      <c r="H247" s="9">
        <v>0</v>
      </c>
      <c r="I247" s="9">
        <v>0</v>
      </c>
      <c r="J247" s="9">
        <v>0</v>
      </c>
      <c r="K247" s="9">
        <v>16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28</v>
      </c>
      <c r="Y247" s="9">
        <v>0</v>
      </c>
      <c r="Z247" s="9">
        <v>36</v>
      </c>
      <c r="AA247" s="9">
        <v>0</v>
      </c>
    </row>
    <row r="248" spans="1:27" x14ac:dyDescent="0.25">
      <c r="A248" s="9" t="s">
        <v>34</v>
      </c>
      <c r="B248" s="9" t="s">
        <v>27</v>
      </c>
      <c r="D248" s="9">
        <v>0</v>
      </c>
      <c r="E248" s="9">
        <v>0</v>
      </c>
      <c r="F248" s="9">
        <v>16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16</v>
      </c>
      <c r="Y248" s="9">
        <v>0</v>
      </c>
      <c r="Z248" s="9">
        <v>60</v>
      </c>
      <c r="AA248" s="9">
        <v>8</v>
      </c>
    </row>
    <row r="249" spans="1:27" x14ac:dyDescent="0.25">
      <c r="A249" s="9" t="s">
        <v>34</v>
      </c>
      <c r="B249" s="9" t="s">
        <v>27</v>
      </c>
      <c r="D249" s="9">
        <v>0</v>
      </c>
      <c r="E249" s="9">
        <v>0</v>
      </c>
      <c r="F249" s="9">
        <v>8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92</v>
      </c>
      <c r="AA249" s="9">
        <v>0</v>
      </c>
    </row>
    <row r="250" spans="1:27" x14ac:dyDescent="0.25">
      <c r="A250" s="9" t="s">
        <v>34</v>
      </c>
      <c r="B250" s="9" t="s">
        <v>27</v>
      </c>
      <c r="D250" s="9">
        <v>0</v>
      </c>
      <c r="E250" s="9">
        <v>0</v>
      </c>
      <c r="F250" s="9">
        <v>28</v>
      </c>
      <c r="G250" s="9">
        <v>0</v>
      </c>
      <c r="H250" s="9">
        <v>0</v>
      </c>
      <c r="I250" s="9">
        <v>0</v>
      </c>
      <c r="J250" s="9">
        <v>0</v>
      </c>
      <c r="K250" s="9">
        <v>4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4</v>
      </c>
      <c r="Y250" s="9">
        <v>0</v>
      </c>
      <c r="Z250" s="9">
        <v>64</v>
      </c>
      <c r="AA250" s="9">
        <v>0</v>
      </c>
    </row>
    <row r="251" spans="1:27" x14ac:dyDescent="0.25">
      <c r="A251" s="9" t="s">
        <v>34</v>
      </c>
      <c r="B251" s="9" t="s">
        <v>27</v>
      </c>
      <c r="D251" s="9">
        <v>0</v>
      </c>
      <c r="E251" s="9">
        <v>0</v>
      </c>
      <c r="F251" s="9">
        <v>12</v>
      </c>
      <c r="G251" s="9">
        <v>0</v>
      </c>
      <c r="H251" s="9">
        <v>0</v>
      </c>
      <c r="I251" s="9">
        <v>0</v>
      </c>
      <c r="J251" s="9">
        <v>0</v>
      </c>
      <c r="K251" s="9">
        <v>4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28</v>
      </c>
      <c r="Y251" s="9">
        <v>0</v>
      </c>
      <c r="Z251" s="9">
        <v>48</v>
      </c>
      <c r="AA251" s="9">
        <v>8</v>
      </c>
    </row>
    <row r="252" spans="1:27" x14ac:dyDescent="0.25">
      <c r="A252" s="9" t="s">
        <v>34</v>
      </c>
      <c r="B252" s="9" t="s">
        <v>27</v>
      </c>
      <c r="D252" s="9">
        <v>0</v>
      </c>
      <c r="E252" s="9">
        <v>0</v>
      </c>
      <c r="F252" s="9">
        <v>24</v>
      </c>
      <c r="G252" s="9">
        <v>0</v>
      </c>
      <c r="H252" s="9">
        <v>0</v>
      </c>
      <c r="I252" s="9">
        <v>0</v>
      </c>
      <c r="J252" s="9">
        <v>0</v>
      </c>
      <c r="K252" s="9">
        <v>8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8</v>
      </c>
      <c r="Y252" s="9">
        <v>0</v>
      </c>
      <c r="Z252" s="9">
        <v>56</v>
      </c>
      <c r="AA252" s="9">
        <v>4</v>
      </c>
    </row>
    <row r="253" spans="1:27" x14ac:dyDescent="0.25">
      <c r="A253" s="9" t="s">
        <v>34</v>
      </c>
      <c r="B253" s="9" t="s">
        <v>27</v>
      </c>
      <c r="D253" s="9">
        <v>0</v>
      </c>
      <c r="E253" s="9">
        <v>0</v>
      </c>
      <c r="F253" s="9">
        <v>40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60</v>
      </c>
      <c r="AA253" s="9">
        <v>0</v>
      </c>
    </row>
    <row r="254" spans="1:27" x14ac:dyDescent="0.25">
      <c r="A254" s="9" t="s">
        <v>34</v>
      </c>
      <c r="B254" s="9" t="s">
        <v>27</v>
      </c>
      <c r="D254" s="9">
        <v>0</v>
      </c>
      <c r="E254" s="9">
        <v>0</v>
      </c>
      <c r="F254" s="9">
        <v>16</v>
      </c>
      <c r="G254" s="9">
        <v>0</v>
      </c>
      <c r="H254" s="9">
        <v>0</v>
      </c>
      <c r="I254" s="9">
        <v>0</v>
      </c>
      <c r="J254" s="9">
        <v>0</v>
      </c>
      <c r="K254" s="9">
        <v>8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32</v>
      </c>
      <c r="Y254" s="9">
        <v>4</v>
      </c>
      <c r="Z254" s="9">
        <v>36</v>
      </c>
      <c r="AA254" s="9">
        <v>4</v>
      </c>
    </row>
    <row r="255" spans="1:27" x14ac:dyDescent="0.25">
      <c r="A255" s="9" t="s">
        <v>34</v>
      </c>
      <c r="B255" s="9" t="s">
        <v>27</v>
      </c>
      <c r="D255" s="9">
        <v>0</v>
      </c>
      <c r="E255" s="9">
        <v>0</v>
      </c>
      <c r="F255" s="9">
        <v>20</v>
      </c>
      <c r="G255" s="9">
        <v>0</v>
      </c>
      <c r="H255" s="9">
        <v>0</v>
      </c>
      <c r="I255" s="9">
        <v>0</v>
      </c>
      <c r="J255" s="9">
        <v>0</v>
      </c>
      <c r="K255" s="9">
        <v>4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4</v>
      </c>
      <c r="U255" s="9">
        <v>0</v>
      </c>
      <c r="V255" s="9">
        <v>0</v>
      </c>
      <c r="W255" s="9">
        <v>0</v>
      </c>
      <c r="X255" s="9">
        <v>16</v>
      </c>
      <c r="Y255" s="9">
        <v>0</v>
      </c>
      <c r="Z255" s="9">
        <v>56</v>
      </c>
      <c r="AA255" s="9">
        <v>0</v>
      </c>
    </row>
    <row r="256" spans="1:27" x14ac:dyDescent="0.25">
      <c r="A256" s="9" t="s">
        <v>34</v>
      </c>
      <c r="B256" s="9" t="s">
        <v>27</v>
      </c>
      <c r="D256" s="9">
        <v>0</v>
      </c>
      <c r="E256" s="9">
        <v>0</v>
      </c>
      <c r="F256" s="9">
        <v>40</v>
      </c>
      <c r="G256" s="9">
        <v>0</v>
      </c>
      <c r="H256" s="9">
        <v>0</v>
      </c>
      <c r="I256" s="9">
        <v>0</v>
      </c>
      <c r="J256" s="9">
        <v>0</v>
      </c>
      <c r="K256" s="9">
        <v>4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8</v>
      </c>
      <c r="Y256" s="9">
        <v>0</v>
      </c>
      <c r="Z256" s="9">
        <v>44</v>
      </c>
      <c r="AA256" s="9">
        <v>4</v>
      </c>
    </row>
    <row r="257" spans="1:27" s="10" customFormat="1" x14ac:dyDescent="0.25">
      <c r="A257" s="10" t="s">
        <v>34</v>
      </c>
      <c r="B257" s="10" t="s">
        <v>27</v>
      </c>
      <c r="C257" s="10" t="s">
        <v>84</v>
      </c>
      <c r="D257" s="10">
        <v>0.266666666666667</v>
      </c>
      <c r="E257" s="10">
        <v>0</v>
      </c>
      <c r="F257" s="10">
        <v>19.466666666666701</v>
      </c>
      <c r="G257" s="10">
        <v>0</v>
      </c>
      <c r="H257" s="10">
        <v>0</v>
      </c>
      <c r="I257" s="10">
        <v>0</v>
      </c>
      <c r="J257" s="10">
        <v>0</v>
      </c>
      <c r="K257" s="10">
        <v>3.7333333333333298</v>
      </c>
      <c r="L257" s="10">
        <v>0</v>
      </c>
      <c r="M257" s="10">
        <v>0</v>
      </c>
      <c r="N257" s="10">
        <v>0</v>
      </c>
      <c r="O257" s="10">
        <v>0.53333333333333299</v>
      </c>
      <c r="P257" s="10">
        <v>0</v>
      </c>
      <c r="Q257" s="10">
        <v>0.266666666666667</v>
      </c>
      <c r="R257" s="10">
        <v>0</v>
      </c>
      <c r="S257" s="10">
        <v>0</v>
      </c>
      <c r="T257" s="10">
        <v>0.266666666666667</v>
      </c>
      <c r="U257" s="10">
        <v>0.266666666666667</v>
      </c>
      <c r="V257" s="10">
        <v>0</v>
      </c>
      <c r="W257" s="10">
        <v>0</v>
      </c>
      <c r="X257" s="10">
        <v>17.066666666666698</v>
      </c>
      <c r="Y257" s="10">
        <v>1.86666666666667</v>
      </c>
      <c r="Z257" s="10">
        <v>54.4</v>
      </c>
      <c r="AA257" s="10">
        <v>1.86666666666667</v>
      </c>
    </row>
    <row r="258" spans="1:27" s="10" customFormat="1" x14ac:dyDescent="0.25">
      <c r="A258" s="10" t="s">
        <v>34</v>
      </c>
      <c r="B258" s="10" t="s">
        <v>27</v>
      </c>
      <c r="C258" s="10" t="s">
        <v>83</v>
      </c>
      <c r="D258" s="10">
        <v>1.03279555898864</v>
      </c>
      <c r="E258" s="10">
        <v>0</v>
      </c>
      <c r="F258" s="10">
        <v>10.888176199547001</v>
      </c>
      <c r="G258" s="10">
        <v>0</v>
      </c>
      <c r="H258" s="10">
        <v>0</v>
      </c>
      <c r="I258" s="10">
        <v>0</v>
      </c>
      <c r="J258" s="10">
        <v>0</v>
      </c>
      <c r="K258" s="10">
        <v>4.3991341139343501</v>
      </c>
      <c r="L258" s="10">
        <v>0</v>
      </c>
      <c r="M258" s="10">
        <v>0</v>
      </c>
      <c r="N258" s="10">
        <v>0</v>
      </c>
      <c r="O258" s="10">
        <v>1.4074631010979901</v>
      </c>
      <c r="P258" s="10">
        <v>0</v>
      </c>
      <c r="Q258" s="10">
        <v>1.03279555898864</v>
      </c>
      <c r="R258" s="10">
        <v>0</v>
      </c>
      <c r="S258" s="10">
        <v>0</v>
      </c>
      <c r="T258" s="10">
        <v>1.03279555898864</v>
      </c>
      <c r="U258" s="10">
        <v>1.03279555898864</v>
      </c>
      <c r="V258" s="10">
        <v>0</v>
      </c>
      <c r="W258" s="10">
        <v>0</v>
      </c>
      <c r="X258" s="10">
        <v>15.002222057637599</v>
      </c>
      <c r="Y258" s="10">
        <v>4.2403953095144802</v>
      </c>
      <c r="Z258" s="10">
        <v>16.616686965646501</v>
      </c>
      <c r="AA258" s="10">
        <v>2.9728934118288302</v>
      </c>
    </row>
    <row r="259" spans="1:27" s="10" customFormat="1" x14ac:dyDescent="0.25">
      <c r="A259" s="10" t="s">
        <v>34</v>
      </c>
      <c r="B259" s="10" t="s">
        <v>27</v>
      </c>
      <c r="C259" s="10" t="s">
        <v>82</v>
      </c>
      <c r="D259" s="10">
        <v>0</v>
      </c>
      <c r="E259" s="10">
        <v>0</v>
      </c>
      <c r="F259" s="10">
        <v>20</v>
      </c>
      <c r="G259" s="10">
        <v>0</v>
      </c>
      <c r="H259" s="10">
        <v>0</v>
      </c>
      <c r="I259" s="10">
        <v>0</v>
      </c>
      <c r="J259" s="10">
        <v>0</v>
      </c>
      <c r="K259" s="10">
        <v>4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12</v>
      </c>
      <c r="Y259" s="10">
        <v>0</v>
      </c>
      <c r="Z259" s="10">
        <v>56</v>
      </c>
      <c r="AA259" s="10">
        <v>0</v>
      </c>
    </row>
    <row r="260" spans="1:27" s="10" customFormat="1" x14ac:dyDescent="0.25">
      <c r="A260" s="10" t="s">
        <v>34</v>
      </c>
      <c r="B260" s="10" t="s">
        <v>27</v>
      </c>
      <c r="C260" s="10" t="s">
        <v>81</v>
      </c>
      <c r="D260" s="10">
        <v>0</v>
      </c>
      <c r="E260" s="10">
        <v>0</v>
      </c>
      <c r="F260" s="10">
        <v>12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8</v>
      </c>
      <c r="Y260" s="10">
        <v>0</v>
      </c>
      <c r="Z260" s="10">
        <v>46</v>
      </c>
      <c r="AA260" s="10">
        <v>0</v>
      </c>
    </row>
    <row r="261" spans="1:27" s="10" customFormat="1" x14ac:dyDescent="0.25">
      <c r="A261" s="10" t="s">
        <v>34</v>
      </c>
      <c r="B261" s="10" t="s">
        <v>27</v>
      </c>
      <c r="C261" s="10" t="s">
        <v>80</v>
      </c>
      <c r="D261" s="10">
        <v>0</v>
      </c>
      <c r="E261" s="10">
        <v>0</v>
      </c>
      <c r="F261" s="10">
        <v>24</v>
      </c>
      <c r="G261" s="10">
        <v>0</v>
      </c>
      <c r="H261" s="10">
        <v>0</v>
      </c>
      <c r="I261" s="10">
        <v>0</v>
      </c>
      <c r="J261" s="10">
        <v>0</v>
      </c>
      <c r="K261" s="10">
        <v>4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28</v>
      </c>
      <c r="Y261" s="10">
        <v>2</v>
      </c>
      <c r="Z261" s="10">
        <v>64</v>
      </c>
      <c r="AA261" s="10">
        <v>4</v>
      </c>
    </row>
    <row r="262" spans="1:27" x14ac:dyDescent="0.25">
      <c r="A262" s="9" t="s">
        <v>34</v>
      </c>
      <c r="B262" s="9" t="s">
        <v>28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8</v>
      </c>
      <c r="L262" s="9">
        <v>0</v>
      </c>
      <c r="M262" s="9">
        <v>0</v>
      </c>
      <c r="N262" s="9">
        <v>0</v>
      </c>
      <c r="O262" s="9">
        <v>4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24</v>
      </c>
      <c r="Y262" s="9">
        <v>0</v>
      </c>
      <c r="Z262" s="9">
        <v>56</v>
      </c>
      <c r="AA262" s="9">
        <v>8</v>
      </c>
    </row>
    <row r="263" spans="1:27" x14ac:dyDescent="0.25">
      <c r="A263" s="9" t="s">
        <v>34</v>
      </c>
      <c r="B263" s="9" t="s">
        <v>28</v>
      </c>
      <c r="D263" s="9">
        <v>0</v>
      </c>
      <c r="E263" s="9">
        <v>0</v>
      </c>
      <c r="F263" s="9">
        <v>12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4</v>
      </c>
      <c r="V263" s="9">
        <v>0</v>
      </c>
      <c r="W263" s="9">
        <v>0</v>
      </c>
      <c r="X263" s="9">
        <v>44</v>
      </c>
      <c r="Y263" s="9">
        <v>0</v>
      </c>
      <c r="Z263" s="9">
        <v>40</v>
      </c>
      <c r="AA263" s="9">
        <v>0</v>
      </c>
    </row>
    <row r="264" spans="1:27" x14ac:dyDescent="0.25">
      <c r="A264" s="9" t="s">
        <v>34</v>
      </c>
      <c r="B264" s="9" t="s">
        <v>28</v>
      </c>
      <c r="D264" s="9">
        <v>0</v>
      </c>
      <c r="E264" s="9">
        <v>0</v>
      </c>
      <c r="F264" s="9">
        <v>8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8</v>
      </c>
      <c r="Y264" s="9">
        <v>0</v>
      </c>
      <c r="Z264" s="9">
        <v>84</v>
      </c>
      <c r="AA264" s="9">
        <v>0</v>
      </c>
    </row>
    <row r="265" spans="1:27" x14ac:dyDescent="0.25">
      <c r="A265" s="9" t="s">
        <v>34</v>
      </c>
      <c r="B265" s="9" t="s">
        <v>28</v>
      </c>
      <c r="D265" s="9">
        <v>20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4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4</v>
      </c>
      <c r="V265" s="9">
        <v>0</v>
      </c>
      <c r="W265" s="9">
        <v>0</v>
      </c>
      <c r="X265" s="9">
        <v>0</v>
      </c>
      <c r="Y265" s="9">
        <v>0</v>
      </c>
      <c r="Z265" s="9">
        <v>68</v>
      </c>
      <c r="AA265" s="9">
        <v>4</v>
      </c>
    </row>
    <row r="266" spans="1:27" x14ac:dyDescent="0.25">
      <c r="A266" s="9" t="s">
        <v>34</v>
      </c>
      <c r="B266" s="9" t="s">
        <v>28</v>
      </c>
      <c r="D266" s="9">
        <v>8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4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52</v>
      </c>
      <c r="Y266" s="9">
        <v>8</v>
      </c>
      <c r="Z266" s="9">
        <v>28</v>
      </c>
      <c r="AA266" s="9">
        <v>0</v>
      </c>
    </row>
    <row r="267" spans="1:27" x14ac:dyDescent="0.25">
      <c r="A267" s="9" t="s">
        <v>34</v>
      </c>
      <c r="B267" s="9" t="s">
        <v>28</v>
      </c>
      <c r="D267" s="9">
        <v>0</v>
      </c>
      <c r="E267" s="9">
        <v>0</v>
      </c>
      <c r="F267" s="9">
        <v>0</v>
      </c>
      <c r="G267" s="9">
        <v>0</v>
      </c>
      <c r="H267" s="9">
        <v>8</v>
      </c>
      <c r="I267" s="9">
        <v>0</v>
      </c>
      <c r="J267" s="9">
        <v>0</v>
      </c>
      <c r="K267" s="9">
        <v>4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24</v>
      </c>
      <c r="Y267" s="9">
        <v>0</v>
      </c>
      <c r="Z267" s="9">
        <v>64</v>
      </c>
      <c r="AA267" s="9">
        <v>0</v>
      </c>
    </row>
    <row r="268" spans="1:27" x14ac:dyDescent="0.25">
      <c r="A268" s="9" t="s">
        <v>34</v>
      </c>
      <c r="B268" s="9" t="s">
        <v>28</v>
      </c>
      <c r="D268" s="9">
        <v>0</v>
      </c>
      <c r="E268" s="9">
        <v>0</v>
      </c>
      <c r="F268" s="9">
        <v>0</v>
      </c>
      <c r="G268" s="9">
        <v>8</v>
      </c>
      <c r="H268" s="9">
        <v>0</v>
      </c>
      <c r="I268" s="9">
        <v>0</v>
      </c>
      <c r="J268" s="9">
        <v>0</v>
      </c>
      <c r="K268" s="9">
        <v>4</v>
      </c>
      <c r="L268" s="9">
        <v>0</v>
      </c>
      <c r="M268" s="9">
        <v>0</v>
      </c>
      <c r="N268" s="9">
        <v>4</v>
      </c>
      <c r="O268" s="9">
        <v>12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24</v>
      </c>
      <c r="Y268" s="9">
        <v>4</v>
      </c>
      <c r="Z268" s="9">
        <v>36</v>
      </c>
      <c r="AA268" s="9">
        <v>8</v>
      </c>
    </row>
    <row r="269" spans="1:27" x14ac:dyDescent="0.25">
      <c r="A269" s="9" t="s">
        <v>34</v>
      </c>
      <c r="B269" s="9" t="s">
        <v>28</v>
      </c>
      <c r="D269" s="9">
        <v>0</v>
      </c>
      <c r="E269" s="9">
        <v>0</v>
      </c>
      <c r="F269" s="9">
        <v>40</v>
      </c>
      <c r="G269" s="9">
        <v>0</v>
      </c>
      <c r="H269" s="9">
        <v>0</v>
      </c>
      <c r="I269" s="9">
        <v>0</v>
      </c>
      <c r="J269" s="9">
        <v>0</v>
      </c>
      <c r="K269" s="9">
        <v>8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12</v>
      </c>
      <c r="Y269" s="9">
        <v>4</v>
      </c>
      <c r="Z269" s="9">
        <v>36</v>
      </c>
      <c r="AA269" s="9">
        <v>0</v>
      </c>
    </row>
    <row r="270" spans="1:27" x14ac:dyDescent="0.25">
      <c r="A270" s="9" t="s">
        <v>34</v>
      </c>
      <c r="B270" s="9" t="s">
        <v>28</v>
      </c>
      <c r="D270" s="9">
        <v>0</v>
      </c>
      <c r="E270" s="9">
        <v>0</v>
      </c>
      <c r="F270" s="9">
        <v>28</v>
      </c>
      <c r="G270" s="9">
        <v>0</v>
      </c>
      <c r="H270" s="9">
        <v>0</v>
      </c>
      <c r="I270" s="9">
        <v>0</v>
      </c>
      <c r="J270" s="9">
        <v>0</v>
      </c>
      <c r="K270" s="9">
        <v>8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44</v>
      </c>
      <c r="Y270" s="9">
        <v>4</v>
      </c>
      <c r="Z270" s="9">
        <v>16</v>
      </c>
      <c r="AA270" s="9">
        <v>0</v>
      </c>
    </row>
    <row r="271" spans="1:27" x14ac:dyDescent="0.25">
      <c r="A271" s="9" t="s">
        <v>34</v>
      </c>
      <c r="B271" s="9" t="s">
        <v>28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4</v>
      </c>
      <c r="L271" s="9">
        <v>0</v>
      </c>
      <c r="M271" s="9">
        <v>0</v>
      </c>
      <c r="N271" s="9">
        <v>8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12</v>
      </c>
      <c r="Y271" s="9">
        <v>0</v>
      </c>
      <c r="Z271" s="9">
        <v>72</v>
      </c>
      <c r="AA271" s="9">
        <v>4</v>
      </c>
    </row>
    <row r="272" spans="1:27" x14ac:dyDescent="0.25">
      <c r="A272" s="9" t="s">
        <v>34</v>
      </c>
      <c r="B272" s="9" t="s">
        <v>28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12</v>
      </c>
      <c r="O272" s="9">
        <v>0</v>
      </c>
      <c r="P272" s="9">
        <v>0</v>
      </c>
      <c r="Q272" s="9">
        <v>4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8</v>
      </c>
      <c r="Y272" s="9">
        <v>12</v>
      </c>
      <c r="Z272" s="9">
        <v>56</v>
      </c>
      <c r="AA272" s="9">
        <v>8</v>
      </c>
    </row>
    <row r="273" spans="1:27" x14ac:dyDescent="0.25">
      <c r="A273" s="9" t="s">
        <v>34</v>
      </c>
      <c r="B273" s="9" t="s">
        <v>28</v>
      </c>
      <c r="D273" s="9">
        <v>0</v>
      </c>
      <c r="E273" s="9">
        <v>0</v>
      </c>
      <c r="F273" s="9">
        <v>12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20</v>
      </c>
      <c r="Y273" s="9">
        <v>0</v>
      </c>
      <c r="Z273" s="9">
        <v>60</v>
      </c>
      <c r="AA273" s="9">
        <v>8</v>
      </c>
    </row>
    <row r="274" spans="1:27" x14ac:dyDescent="0.25">
      <c r="A274" s="9" t="s">
        <v>34</v>
      </c>
      <c r="B274" s="9" t="s">
        <v>28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4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32</v>
      </c>
      <c r="Y274" s="9">
        <v>24</v>
      </c>
      <c r="Z274" s="9">
        <v>36</v>
      </c>
      <c r="AA274" s="9">
        <v>4</v>
      </c>
    </row>
    <row r="275" spans="1:27" x14ac:dyDescent="0.25">
      <c r="A275" s="9" t="s">
        <v>34</v>
      </c>
      <c r="B275" s="9" t="s">
        <v>28</v>
      </c>
      <c r="D275" s="9">
        <v>0</v>
      </c>
      <c r="E275" s="9">
        <v>0</v>
      </c>
      <c r="F275" s="9">
        <v>32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4</v>
      </c>
      <c r="V275" s="9">
        <v>0</v>
      </c>
      <c r="W275" s="9">
        <v>0</v>
      </c>
      <c r="X275" s="9">
        <v>8</v>
      </c>
      <c r="Y275" s="9">
        <v>12</v>
      </c>
      <c r="Z275" s="9">
        <v>44</v>
      </c>
      <c r="AA275" s="9">
        <v>0</v>
      </c>
    </row>
    <row r="276" spans="1:27" s="10" customFormat="1" x14ac:dyDescent="0.25">
      <c r="A276" s="10" t="s">
        <v>34</v>
      </c>
      <c r="B276" s="10" t="s">
        <v>28</v>
      </c>
      <c r="D276" s="10">
        <v>64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12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24</v>
      </c>
      <c r="AA276" s="10">
        <v>0</v>
      </c>
    </row>
    <row r="277" spans="1:27" s="10" customFormat="1" x14ac:dyDescent="0.25">
      <c r="A277" s="10" t="s">
        <v>34</v>
      </c>
      <c r="B277" s="10" t="s">
        <v>28</v>
      </c>
      <c r="C277" s="10" t="s">
        <v>84</v>
      </c>
      <c r="D277" s="10">
        <v>6.1333333333333302</v>
      </c>
      <c r="E277" s="10">
        <v>0</v>
      </c>
      <c r="F277" s="10">
        <v>8.8000000000000007</v>
      </c>
      <c r="G277" s="10">
        <v>0.53333333333333299</v>
      </c>
      <c r="H277" s="10">
        <v>0.53333333333333299</v>
      </c>
      <c r="I277" s="10">
        <v>0</v>
      </c>
      <c r="J277" s="10">
        <v>0</v>
      </c>
      <c r="K277" s="10">
        <v>2.6666666666666701</v>
      </c>
      <c r="L277" s="10">
        <v>0</v>
      </c>
      <c r="M277" s="10">
        <v>0</v>
      </c>
      <c r="N277" s="10">
        <v>1.86666666666667</v>
      </c>
      <c r="O277" s="10">
        <v>1.06666666666667</v>
      </c>
      <c r="P277" s="10">
        <v>0</v>
      </c>
      <c r="Q277" s="10">
        <v>0.266666666666667</v>
      </c>
      <c r="R277" s="10">
        <v>1.06666666666667</v>
      </c>
      <c r="S277" s="10">
        <v>0</v>
      </c>
      <c r="T277" s="10">
        <v>0</v>
      </c>
      <c r="U277" s="10">
        <v>0.8</v>
      </c>
      <c r="V277" s="10">
        <v>0</v>
      </c>
      <c r="W277" s="10">
        <v>0</v>
      </c>
      <c r="X277" s="10">
        <v>20.8</v>
      </c>
      <c r="Y277" s="10">
        <v>4.5333333333333297</v>
      </c>
      <c r="Z277" s="10">
        <v>48</v>
      </c>
      <c r="AA277" s="10">
        <v>2.93333333333333</v>
      </c>
    </row>
    <row r="278" spans="1:27" s="10" customFormat="1" x14ac:dyDescent="0.25">
      <c r="A278" s="10" t="s">
        <v>34</v>
      </c>
      <c r="B278" s="10" t="s">
        <v>28</v>
      </c>
      <c r="C278" s="10" t="s">
        <v>83</v>
      </c>
      <c r="D278" s="10">
        <v>16.8940677105759</v>
      </c>
      <c r="E278" s="10">
        <v>0</v>
      </c>
      <c r="F278" s="10">
        <v>13.6235090927411</v>
      </c>
      <c r="G278" s="10">
        <v>2.0655911179772901</v>
      </c>
      <c r="H278" s="10">
        <v>2.0655911179772901</v>
      </c>
      <c r="I278" s="10">
        <v>0</v>
      </c>
      <c r="J278" s="10">
        <v>0</v>
      </c>
      <c r="K278" s="10">
        <v>3.2659863237109001</v>
      </c>
      <c r="L278" s="10">
        <v>0</v>
      </c>
      <c r="M278" s="10">
        <v>0</v>
      </c>
      <c r="N278" s="10">
        <v>3.6619016657365102</v>
      </c>
      <c r="O278" s="10">
        <v>3.1952345468719199</v>
      </c>
      <c r="P278" s="10">
        <v>0</v>
      </c>
      <c r="Q278" s="10">
        <v>1.03279555898864</v>
      </c>
      <c r="R278" s="10">
        <v>3.1952345468719199</v>
      </c>
      <c r="S278" s="10">
        <v>0</v>
      </c>
      <c r="T278" s="10">
        <v>0</v>
      </c>
      <c r="U278" s="10">
        <v>1.65615734242165</v>
      </c>
      <c r="V278" s="10">
        <v>0</v>
      </c>
      <c r="W278" s="10">
        <v>0</v>
      </c>
      <c r="X278" s="10">
        <v>16.297239029970701</v>
      </c>
      <c r="Y278" s="10">
        <v>6.9061739114532896</v>
      </c>
      <c r="Z278" s="10">
        <v>19.478926341782099</v>
      </c>
      <c r="AA278" s="10">
        <v>3.53486040675415</v>
      </c>
    </row>
    <row r="279" spans="1:27" s="10" customFormat="1" x14ac:dyDescent="0.25">
      <c r="A279" s="10" t="s">
        <v>34</v>
      </c>
      <c r="B279" s="10" t="s">
        <v>28</v>
      </c>
      <c r="C279" s="10" t="s">
        <v>82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20</v>
      </c>
      <c r="Y279" s="10">
        <v>0</v>
      </c>
      <c r="Z279" s="10">
        <v>44</v>
      </c>
      <c r="AA279" s="10">
        <v>0</v>
      </c>
    </row>
    <row r="280" spans="1:27" s="10" customFormat="1" x14ac:dyDescent="0.25">
      <c r="A280" s="10" t="s">
        <v>34</v>
      </c>
      <c r="B280" s="10" t="s">
        <v>28</v>
      </c>
      <c r="C280" s="10" t="s">
        <v>81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8</v>
      </c>
      <c r="Y280" s="10">
        <v>0</v>
      </c>
      <c r="Z280" s="10">
        <v>36</v>
      </c>
      <c r="AA280" s="10">
        <v>0</v>
      </c>
    </row>
    <row r="281" spans="1:27" s="10" customFormat="1" x14ac:dyDescent="0.25">
      <c r="A281" s="10" t="s">
        <v>34</v>
      </c>
      <c r="B281" s="10" t="s">
        <v>28</v>
      </c>
      <c r="C281" s="10" t="s">
        <v>80</v>
      </c>
      <c r="D281" s="10">
        <v>0</v>
      </c>
      <c r="E281" s="10">
        <v>0</v>
      </c>
      <c r="F281" s="10">
        <v>12</v>
      </c>
      <c r="G281" s="10">
        <v>0</v>
      </c>
      <c r="H281" s="10">
        <v>0</v>
      </c>
      <c r="I281" s="10">
        <v>0</v>
      </c>
      <c r="J281" s="10">
        <v>0</v>
      </c>
      <c r="K281" s="10">
        <v>4</v>
      </c>
      <c r="L281" s="10">
        <v>0</v>
      </c>
      <c r="M281" s="10">
        <v>0</v>
      </c>
      <c r="N281" s="10">
        <v>2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28</v>
      </c>
      <c r="Y281" s="10">
        <v>6</v>
      </c>
      <c r="Z281" s="10">
        <v>62</v>
      </c>
      <c r="AA281" s="10">
        <v>6</v>
      </c>
    </row>
    <row r="282" spans="1:27" x14ac:dyDescent="0.25">
      <c r="A282" s="9" t="s">
        <v>34</v>
      </c>
      <c r="B282" s="9" t="s">
        <v>29</v>
      </c>
      <c r="D282" s="9">
        <v>0</v>
      </c>
      <c r="E282" s="9">
        <v>0</v>
      </c>
      <c r="F282" s="9">
        <v>28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8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28</v>
      </c>
      <c r="Y282" s="9">
        <v>0</v>
      </c>
      <c r="Z282" s="9">
        <v>36</v>
      </c>
      <c r="AA282" s="9">
        <v>0</v>
      </c>
    </row>
    <row r="283" spans="1:27" x14ac:dyDescent="0.25">
      <c r="A283" s="9" t="s">
        <v>34</v>
      </c>
      <c r="B283" s="9" t="s">
        <v>29</v>
      </c>
      <c r="D283" s="9">
        <v>0</v>
      </c>
      <c r="E283" s="9">
        <v>0</v>
      </c>
      <c r="F283" s="9">
        <v>4</v>
      </c>
      <c r="G283" s="9">
        <v>8</v>
      </c>
      <c r="H283" s="9">
        <v>0</v>
      </c>
      <c r="I283" s="9">
        <v>0</v>
      </c>
      <c r="J283" s="9">
        <v>0</v>
      </c>
      <c r="K283" s="9">
        <v>4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40</v>
      </c>
      <c r="Y283" s="9">
        <v>0</v>
      </c>
      <c r="Z283" s="9">
        <v>44</v>
      </c>
      <c r="AA283" s="9">
        <v>0</v>
      </c>
    </row>
    <row r="284" spans="1:27" x14ac:dyDescent="0.25">
      <c r="A284" s="9" t="s">
        <v>34</v>
      </c>
      <c r="B284" s="9" t="s">
        <v>29</v>
      </c>
      <c r="D284" s="9">
        <v>0</v>
      </c>
      <c r="E284" s="9">
        <v>0</v>
      </c>
      <c r="F284" s="9">
        <v>0</v>
      </c>
      <c r="G284" s="9">
        <v>4</v>
      </c>
      <c r="H284" s="9">
        <v>0</v>
      </c>
      <c r="I284" s="9">
        <v>0</v>
      </c>
      <c r="J284" s="9">
        <v>0</v>
      </c>
      <c r="K284" s="9">
        <v>4</v>
      </c>
      <c r="L284" s="9">
        <v>0</v>
      </c>
      <c r="M284" s="9">
        <v>0</v>
      </c>
      <c r="N284" s="9">
        <v>8</v>
      </c>
      <c r="O284" s="9">
        <v>0</v>
      </c>
      <c r="P284" s="9">
        <v>0</v>
      </c>
      <c r="Q284" s="9">
        <v>0</v>
      </c>
      <c r="R284" s="9">
        <v>4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28</v>
      </c>
      <c r="Y284" s="9">
        <v>20</v>
      </c>
      <c r="Z284" s="9">
        <v>24</v>
      </c>
      <c r="AA284" s="9">
        <v>8</v>
      </c>
    </row>
    <row r="285" spans="1:27" x14ac:dyDescent="0.25">
      <c r="A285" s="9" t="s">
        <v>34</v>
      </c>
      <c r="B285" s="9" t="s">
        <v>29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20</v>
      </c>
      <c r="U285" s="9">
        <v>0</v>
      </c>
      <c r="V285" s="9">
        <v>0</v>
      </c>
      <c r="W285" s="9">
        <v>0</v>
      </c>
      <c r="X285" s="9">
        <v>16</v>
      </c>
      <c r="Y285" s="9">
        <v>12</v>
      </c>
      <c r="Z285" s="9">
        <v>52</v>
      </c>
      <c r="AA285" s="9">
        <v>0</v>
      </c>
    </row>
    <row r="286" spans="1:27" x14ac:dyDescent="0.25">
      <c r="A286" s="9" t="s">
        <v>34</v>
      </c>
      <c r="B286" s="9" t="s">
        <v>29</v>
      </c>
      <c r="D286" s="9">
        <v>0</v>
      </c>
      <c r="E286" s="9">
        <v>0</v>
      </c>
      <c r="F286" s="9">
        <v>20</v>
      </c>
      <c r="G286" s="9">
        <v>0</v>
      </c>
      <c r="H286" s="9">
        <v>0</v>
      </c>
      <c r="I286" s="9">
        <v>0</v>
      </c>
      <c r="J286" s="9">
        <v>0</v>
      </c>
      <c r="K286" s="9">
        <v>8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20</v>
      </c>
      <c r="Y286" s="9">
        <v>0</v>
      </c>
      <c r="Z286" s="9">
        <v>52</v>
      </c>
      <c r="AA286" s="9">
        <v>0</v>
      </c>
    </row>
    <row r="287" spans="1:27" x14ac:dyDescent="0.25">
      <c r="A287" s="9" t="s">
        <v>34</v>
      </c>
      <c r="B287" s="9" t="s">
        <v>29</v>
      </c>
      <c r="D287" s="9">
        <v>4</v>
      </c>
      <c r="E287" s="9">
        <v>0</v>
      </c>
      <c r="F287" s="9">
        <v>4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4</v>
      </c>
      <c r="V287" s="9">
        <v>0</v>
      </c>
      <c r="W287" s="9">
        <v>0</v>
      </c>
      <c r="X287" s="9">
        <v>32</v>
      </c>
      <c r="Y287" s="9">
        <v>0</v>
      </c>
      <c r="Z287" s="9">
        <v>56</v>
      </c>
      <c r="AA287" s="9">
        <v>0</v>
      </c>
    </row>
    <row r="288" spans="1:27" x14ac:dyDescent="0.25">
      <c r="A288" s="9" t="s">
        <v>34</v>
      </c>
      <c r="B288" s="9" t="s">
        <v>29</v>
      </c>
      <c r="D288" s="9">
        <v>0</v>
      </c>
      <c r="E288" s="9">
        <v>0</v>
      </c>
      <c r="F288" s="9">
        <v>32</v>
      </c>
      <c r="G288" s="9">
        <v>0</v>
      </c>
      <c r="H288" s="9">
        <v>0</v>
      </c>
      <c r="I288" s="9">
        <v>0</v>
      </c>
      <c r="J288" s="9">
        <v>0</v>
      </c>
      <c r="K288" s="9">
        <v>4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44</v>
      </c>
      <c r="Y288" s="9">
        <v>4</v>
      </c>
      <c r="Z288" s="9">
        <v>16</v>
      </c>
      <c r="AA288" s="9">
        <v>0</v>
      </c>
    </row>
    <row r="289" spans="1:27" x14ac:dyDescent="0.25">
      <c r="A289" s="9" t="s">
        <v>34</v>
      </c>
      <c r="B289" s="9" t="s">
        <v>29</v>
      </c>
      <c r="D289" s="9">
        <v>0</v>
      </c>
      <c r="E289" s="9">
        <v>0</v>
      </c>
      <c r="F289" s="9">
        <v>0</v>
      </c>
      <c r="G289" s="9">
        <v>8</v>
      </c>
      <c r="H289" s="9">
        <v>0</v>
      </c>
      <c r="I289" s="9">
        <v>0</v>
      </c>
      <c r="J289" s="9">
        <v>0</v>
      </c>
      <c r="K289" s="9">
        <v>4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4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44</v>
      </c>
      <c r="Y289" s="9">
        <v>0</v>
      </c>
      <c r="Z289" s="9">
        <v>40</v>
      </c>
      <c r="AA289" s="9">
        <v>0</v>
      </c>
    </row>
    <row r="290" spans="1:27" x14ac:dyDescent="0.25">
      <c r="A290" s="9" t="s">
        <v>34</v>
      </c>
      <c r="B290" s="9" t="s">
        <v>29</v>
      </c>
      <c r="D290" s="9">
        <v>0</v>
      </c>
      <c r="E290" s="9">
        <v>0</v>
      </c>
      <c r="F290" s="9">
        <v>0</v>
      </c>
      <c r="G290" s="9">
        <v>32</v>
      </c>
      <c r="H290" s="9">
        <v>0</v>
      </c>
      <c r="I290" s="9">
        <v>0</v>
      </c>
      <c r="J290" s="9">
        <v>0</v>
      </c>
      <c r="K290" s="9">
        <v>8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28</v>
      </c>
      <c r="Y290" s="9">
        <v>4</v>
      </c>
      <c r="Z290" s="9">
        <v>28</v>
      </c>
      <c r="AA290" s="9">
        <v>0</v>
      </c>
    </row>
    <row r="291" spans="1:27" x14ac:dyDescent="0.25">
      <c r="A291" s="9" t="s">
        <v>34</v>
      </c>
      <c r="B291" s="9" t="s">
        <v>29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4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12</v>
      </c>
      <c r="Y291" s="9">
        <v>0</v>
      </c>
      <c r="Z291" s="9">
        <v>84</v>
      </c>
      <c r="AA291" s="9">
        <v>0</v>
      </c>
    </row>
    <row r="292" spans="1:27" x14ac:dyDescent="0.25">
      <c r="A292" s="9" t="s">
        <v>34</v>
      </c>
      <c r="B292" s="9" t="s">
        <v>29</v>
      </c>
      <c r="D292" s="9">
        <v>0</v>
      </c>
      <c r="E292" s="9">
        <v>0</v>
      </c>
      <c r="F292" s="9">
        <v>0</v>
      </c>
      <c r="G292" s="9">
        <v>12</v>
      </c>
      <c r="H292" s="9">
        <v>0</v>
      </c>
      <c r="I292" s="9">
        <v>0</v>
      </c>
      <c r="J292" s="9">
        <v>0</v>
      </c>
      <c r="K292" s="9">
        <v>16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32</v>
      </c>
      <c r="Y292" s="9">
        <v>12</v>
      </c>
      <c r="Z292" s="9">
        <v>28</v>
      </c>
      <c r="AA292" s="9">
        <v>0</v>
      </c>
    </row>
    <row r="293" spans="1:27" x14ac:dyDescent="0.25">
      <c r="A293" s="9" t="s">
        <v>34</v>
      </c>
      <c r="B293" s="9" t="s">
        <v>29</v>
      </c>
      <c r="D293" s="9">
        <v>0</v>
      </c>
      <c r="E293" s="9">
        <v>0</v>
      </c>
      <c r="F293" s="9">
        <v>20</v>
      </c>
      <c r="G293" s="9">
        <v>0</v>
      </c>
      <c r="H293" s="9">
        <v>0</v>
      </c>
      <c r="I293" s="9">
        <v>0</v>
      </c>
      <c r="J293" s="9">
        <v>0</v>
      </c>
      <c r="K293" s="9">
        <v>4</v>
      </c>
      <c r="L293" s="9">
        <v>0</v>
      </c>
      <c r="M293" s="9">
        <v>0</v>
      </c>
      <c r="N293" s="9">
        <v>0</v>
      </c>
      <c r="O293" s="9">
        <v>8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4</v>
      </c>
      <c r="Y293" s="9">
        <v>4</v>
      </c>
      <c r="Z293" s="9">
        <v>60</v>
      </c>
      <c r="AA293" s="9">
        <v>0</v>
      </c>
    </row>
    <row r="294" spans="1:27" x14ac:dyDescent="0.25">
      <c r="A294" s="9" t="s">
        <v>34</v>
      </c>
      <c r="B294" s="9" t="s">
        <v>29</v>
      </c>
      <c r="D294" s="9">
        <v>48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8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4</v>
      </c>
      <c r="Z294" s="9">
        <v>36</v>
      </c>
      <c r="AA294" s="9">
        <v>4</v>
      </c>
    </row>
    <row r="295" spans="1:27" x14ac:dyDescent="0.25">
      <c r="A295" s="9" t="s">
        <v>34</v>
      </c>
      <c r="B295" s="9" t="s">
        <v>29</v>
      </c>
      <c r="D295" s="9">
        <v>20</v>
      </c>
      <c r="E295" s="9">
        <v>0</v>
      </c>
      <c r="F295" s="9">
        <v>28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8</v>
      </c>
      <c r="Y295" s="9">
        <v>4</v>
      </c>
      <c r="Z295" s="9">
        <v>40</v>
      </c>
      <c r="AA295" s="9">
        <v>0</v>
      </c>
    </row>
    <row r="296" spans="1:27" x14ac:dyDescent="0.25">
      <c r="A296" s="9" t="s">
        <v>34</v>
      </c>
      <c r="B296" s="9" t="s">
        <v>29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16</v>
      </c>
      <c r="Y296" s="9">
        <v>0</v>
      </c>
      <c r="Z296" s="9">
        <v>80</v>
      </c>
      <c r="AA296" s="9">
        <v>4</v>
      </c>
    </row>
    <row r="297" spans="1:27" s="10" customFormat="1" x14ac:dyDescent="0.25">
      <c r="A297" s="10" t="s">
        <v>34</v>
      </c>
      <c r="B297" s="10" t="s">
        <v>29</v>
      </c>
      <c r="C297" s="10" t="s">
        <v>84</v>
      </c>
      <c r="D297" s="10">
        <v>4.8</v>
      </c>
      <c r="E297" s="10">
        <v>0</v>
      </c>
      <c r="F297" s="10">
        <v>9.06666666666667</v>
      </c>
      <c r="G297" s="10">
        <v>4.2666666666666702</v>
      </c>
      <c r="H297" s="10">
        <v>0</v>
      </c>
      <c r="I297" s="10">
        <v>0</v>
      </c>
      <c r="J297" s="10">
        <v>0</v>
      </c>
      <c r="K297" s="10">
        <v>3.7333333333333298</v>
      </c>
      <c r="L297" s="10">
        <v>0</v>
      </c>
      <c r="M297" s="10">
        <v>0</v>
      </c>
      <c r="N297" s="10">
        <v>0.53333333333333299</v>
      </c>
      <c r="O297" s="10">
        <v>0.53333333333333299</v>
      </c>
      <c r="P297" s="10">
        <v>0</v>
      </c>
      <c r="Q297" s="10">
        <v>0</v>
      </c>
      <c r="R297" s="10">
        <v>1.6</v>
      </c>
      <c r="S297" s="10">
        <v>0</v>
      </c>
      <c r="T297" s="10">
        <v>1.3333333333333299</v>
      </c>
      <c r="U297" s="10">
        <v>0.266666666666667</v>
      </c>
      <c r="V297" s="10">
        <v>0</v>
      </c>
      <c r="W297" s="10">
        <v>0</v>
      </c>
      <c r="X297" s="10">
        <v>23.466666666666701</v>
      </c>
      <c r="Y297" s="10">
        <v>4.2666666666666702</v>
      </c>
      <c r="Z297" s="10">
        <v>45.066666666666698</v>
      </c>
      <c r="AA297" s="10">
        <v>1.06666666666667</v>
      </c>
    </row>
    <row r="298" spans="1:27" s="10" customFormat="1" x14ac:dyDescent="0.25">
      <c r="A298" s="10" t="s">
        <v>34</v>
      </c>
      <c r="B298" s="10" t="s">
        <v>29</v>
      </c>
      <c r="C298" s="10" t="s">
        <v>83</v>
      </c>
      <c r="D298" s="10">
        <v>13.0230564768798</v>
      </c>
      <c r="E298" s="10">
        <v>0</v>
      </c>
      <c r="F298" s="10">
        <v>12.5098056777569</v>
      </c>
      <c r="G298" s="10">
        <v>8.6144949828486101</v>
      </c>
      <c r="H298" s="10">
        <v>0</v>
      </c>
      <c r="I298" s="10">
        <v>0</v>
      </c>
      <c r="J298" s="10">
        <v>0</v>
      </c>
      <c r="K298" s="10">
        <v>4.3991341139343501</v>
      </c>
      <c r="L298" s="10">
        <v>0</v>
      </c>
      <c r="M298" s="10">
        <v>0</v>
      </c>
      <c r="N298" s="10">
        <v>2.0655911179772901</v>
      </c>
      <c r="O298" s="10">
        <v>2.0655911179772901</v>
      </c>
      <c r="P298" s="10">
        <v>0</v>
      </c>
      <c r="Q298" s="10">
        <v>0</v>
      </c>
      <c r="R298" s="10">
        <v>2.9471535904520301</v>
      </c>
      <c r="S298" s="10">
        <v>0</v>
      </c>
      <c r="T298" s="10">
        <v>5.1639777949432197</v>
      </c>
      <c r="U298" s="10">
        <v>1.03279555898864</v>
      </c>
      <c r="V298" s="10">
        <v>0</v>
      </c>
      <c r="W298" s="10">
        <v>0</v>
      </c>
      <c r="X298" s="10">
        <v>14.009520572334599</v>
      </c>
      <c r="Y298" s="10">
        <v>5.9457868236576497</v>
      </c>
      <c r="Z298" s="10">
        <v>19.388754718233201</v>
      </c>
      <c r="AA298" s="10">
        <v>2.37446735881865</v>
      </c>
    </row>
    <row r="299" spans="1:27" s="10" customFormat="1" x14ac:dyDescent="0.25">
      <c r="A299" s="10" t="s">
        <v>34</v>
      </c>
      <c r="B299" s="10" t="s">
        <v>29</v>
      </c>
      <c r="C299" s="10" t="s">
        <v>82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4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28</v>
      </c>
      <c r="Y299" s="10">
        <v>4</v>
      </c>
      <c r="Z299" s="10">
        <v>40</v>
      </c>
      <c r="AA299" s="10">
        <v>0</v>
      </c>
    </row>
    <row r="300" spans="1:27" s="10" customFormat="1" x14ac:dyDescent="0.25">
      <c r="A300" s="10" t="s">
        <v>34</v>
      </c>
      <c r="B300" s="10" t="s">
        <v>29</v>
      </c>
      <c r="C300" s="10" t="s">
        <v>81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14</v>
      </c>
      <c r="Y300" s="10">
        <v>0</v>
      </c>
      <c r="Z300" s="10">
        <v>32</v>
      </c>
      <c r="AA300" s="10">
        <v>0</v>
      </c>
    </row>
    <row r="301" spans="1:27" s="10" customFormat="1" x14ac:dyDescent="0.25">
      <c r="A301" s="10" t="s">
        <v>34</v>
      </c>
      <c r="B301" s="10" t="s">
        <v>29</v>
      </c>
      <c r="C301" s="10" t="s">
        <v>80</v>
      </c>
      <c r="D301" s="10">
        <v>0</v>
      </c>
      <c r="E301" s="10">
        <v>0</v>
      </c>
      <c r="F301" s="10">
        <v>20</v>
      </c>
      <c r="G301" s="10">
        <v>6</v>
      </c>
      <c r="H301" s="10">
        <v>0</v>
      </c>
      <c r="I301" s="10">
        <v>0</v>
      </c>
      <c r="J301" s="10">
        <v>0</v>
      </c>
      <c r="K301" s="10">
        <v>4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2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32</v>
      </c>
      <c r="Y301" s="10">
        <v>4</v>
      </c>
      <c r="Z301" s="10">
        <v>54</v>
      </c>
      <c r="AA301" s="10">
        <v>0</v>
      </c>
    </row>
    <row r="302" spans="1:27" x14ac:dyDescent="0.25">
      <c r="A302" s="9" t="s">
        <v>34</v>
      </c>
      <c r="B302" s="9" t="s">
        <v>30</v>
      </c>
      <c r="D302" s="9">
        <v>0</v>
      </c>
      <c r="E302" s="9">
        <v>0</v>
      </c>
      <c r="F302" s="9">
        <v>12</v>
      </c>
      <c r="G302" s="9">
        <v>0</v>
      </c>
      <c r="H302" s="9">
        <v>0</v>
      </c>
      <c r="I302" s="9">
        <v>0</v>
      </c>
      <c r="J302" s="9">
        <v>0</v>
      </c>
      <c r="K302" s="9">
        <v>8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12</v>
      </c>
      <c r="Y302" s="9">
        <v>8</v>
      </c>
      <c r="Z302" s="9">
        <v>48</v>
      </c>
      <c r="AA302" s="9">
        <v>12</v>
      </c>
    </row>
    <row r="303" spans="1:27" x14ac:dyDescent="0.25">
      <c r="A303" s="9" t="s">
        <v>34</v>
      </c>
      <c r="B303" s="9" t="s">
        <v>30</v>
      </c>
      <c r="D303" s="9">
        <v>0</v>
      </c>
      <c r="E303" s="9">
        <v>0</v>
      </c>
      <c r="F303" s="9">
        <v>20</v>
      </c>
      <c r="G303" s="9">
        <v>0</v>
      </c>
      <c r="H303" s="9">
        <v>0</v>
      </c>
      <c r="I303" s="9">
        <v>0</v>
      </c>
      <c r="J303" s="9">
        <v>0</v>
      </c>
      <c r="K303" s="9">
        <v>36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20</v>
      </c>
      <c r="Y303" s="9">
        <v>0</v>
      </c>
      <c r="Z303" s="9">
        <v>20</v>
      </c>
      <c r="AA303" s="9">
        <v>4</v>
      </c>
    </row>
    <row r="304" spans="1:27" x14ac:dyDescent="0.25">
      <c r="A304" s="9" t="s">
        <v>34</v>
      </c>
      <c r="B304" s="9" t="s">
        <v>30</v>
      </c>
      <c r="D304" s="9">
        <v>0</v>
      </c>
      <c r="E304" s="9">
        <v>0</v>
      </c>
      <c r="F304" s="9">
        <v>16</v>
      </c>
      <c r="G304" s="9">
        <v>0</v>
      </c>
      <c r="H304" s="9">
        <v>0</v>
      </c>
      <c r="I304" s="9">
        <v>0</v>
      </c>
      <c r="J304" s="9">
        <v>0</v>
      </c>
      <c r="K304" s="9">
        <v>4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24</v>
      </c>
      <c r="Y304" s="9">
        <v>0</v>
      </c>
      <c r="Z304" s="9">
        <v>56</v>
      </c>
      <c r="AA304" s="9">
        <v>0</v>
      </c>
    </row>
    <row r="305" spans="1:27" x14ac:dyDescent="0.25">
      <c r="A305" s="9" t="s">
        <v>34</v>
      </c>
      <c r="B305" s="9" t="s">
        <v>30</v>
      </c>
      <c r="D305" s="9">
        <v>0</v>
      </c>
      <c r="E305" s="9">
        <v>0</v>
      </c>
      <c r="F305" s="9">
        <v>16</v>
      </c>
      <c r="G305" s="9">
        <v>0</v>
      </c>
      <c r="H305" s="9">
        <v>0</v>
      </c>
      <c r="I305" s="9">
        <v>0</v>
      </c>
      <c r="J305" s="9">
        <v>0</v>
      </c>
      <c r="K305" s="9">
        <v>8</v>
      </c>
      <c r="L305" s="9">
        <v>0</v>
      </c>
      <c r="M305" s="9">
        <v>4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48</v>
      </c>
      <c r="Y305" s="9">
        <v>0</v>
      </c>
      <c r="Z305" s="9">
        <v>24</v>
      </c>
      <c r="AA305" s="9">
        <v>0</v>
      </c>
    </row>
    <row r="306" spans="1:27" x14ac:dyDescent="0.25">
      <c r="A306" s="9" t="s">
        <v>34</v>
      </c>
      <c r="B306" s="9" t="s">
        <v>30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4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4</v>
      </c>
      <c r="U306" s="9">
        <v>0</v>
      </c>
      <c r="V306" s="9">
        <v>0</v>
      </c>
      <c r="W306" s="9">
        <v>0</v>
      </c>
      <c r="X306" s="9">
        <v>44</v>
      </c>
      <c r="Y306" s="9">
        <v>4</v>
      </c>
      <c r="Z306" s="9">
        <v>36</v>
      </c>
      <c r="AA306" s="9">
        <v>8</v>
      </c>
    </row>
    <row r="307" spans="1:27" x14ac:dyDescent="0.25">
      <c r="A307" s="9" t="s">
        <v>34</v>
      </c>
      <c r="B307" s="9" t="s">
        <v>30</v>
      </c>
      <c r="D307" s="9">
        <v>0</v>
      </c>
      <c r="E307" s="9">
        <v>0</v>
      </c>
      <c r="F307" s="9">
        <v>20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4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72</v>
      </c>
      <c r="AA307" s="9">
        <v>4</v>
      </c>
    </row>
    <row r="308" spans="1:27" x14ac:dyDescent="0.25">
      <c r="A308" s="9" t="s">
        <v>34</v>
      </c>
      <c r="B308" s="9" t="s">
        <v>30</v>
      </c>
      <c r="D308" s="9">
        <v>0</v>
      </c>
      <c r="E308" s="9">
        <v>0</v>
      </c>
      <c r="F308" s="9">
        <v>16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8</v>
      </c>
      <c r="S308" s="9">
        <v>0</v>
      </c>
      <c r="T308" s="9">
        <v>36</v>
      </c>
      <c r="U308" s="9">
        <v>0</v>
      </c>
      <c r="V308" s="9">
        <v>0</v>
      </c>
      <c r="W308" s="9">
        <v>0</v>
      </c>
      <c r="X308" s="9">
        <v>12</v>
      </c>
      <c r="Y308" s="9">
        <v>12</v>
      </c>
      <c r="Z308" s="9">
        <v>16</v>
      </c>
      <c r="AA308" s="9">
        <v>0</v>
      </c>
    </row>
    <row r="309" spans="1:27" x14ac:dyDescent="0.25">
      <c r="A309" s="9" t="s">
        <v>34</v>
      </c>
      <c r="B309" s="9" t="s">
        <v>30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20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48</v>
      </c>
      <c r="Y309" s="9">
        <v>8</v>
      </c>
      <c r="Z309" s="9">
        <v>16</v>
      </c>
      <c r="AA309" s="9">
        <v>8</v>
      </c>
    </row>
    <row r="310" spans="1:27" x14ac:dyDescent="0.25">
      <c r="A310" s="9" t="s">
        <v>34</v>
      </c>
      <c r="B310" s="9" t="s">
        <v>30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4</v>
      </c>
      <c r="L310" s="9">
        <v>0</v>
      </c>
      <c r="M310" s="9">
        <v>0</v>
      </c>
      <c r="N310" s="9">
        <v>0</v>
      </c>
      <c r="O310" s="9">
        <v>4</v>
      </c>
      <c r="P310" s="9">
        <v>0</v>
      </c>
      <c r="Q310" s="9">
        <v>0</v>
      </c>
      <c r="R310" s="9">
        <v>0</v>
      </c>
      <c r="S310" s="9">
        <v>0</v>
      </c>
      <c r="T310" s="9">
        <v>20</v>
      </c>
      <c r="U310" s="9">
        <v>0</v>
      </c>
      <c r="V310" s="9">
        <v>0</v>
      </c>
      <c r="W310" s="9">
        <v>0</v>
      </c>
      <c r="X310" s="9">
        <v>4</v>
      </c>
      <c r="Y310" s="9">
        <v>8</v>
      </c>
      <c r="Z310" s="9">
        <v>60</v>
      </c>
      <c r="AA310" s="9">
        <v>0</v>
      </c>
    </row>
    <row r="311" spans="1:27" x14ac:dyDescent="0.25">
      <c r="A311" s="9" t="s">
        <v>34</v>
      </c>
      <c r="B311" s="9" t="s">
        <v>30</v>
      </c>
      <c r="D311" s="9">
        <v>0</v>
      </c>
      <c r="E311" s="9">
        <v>0</v>
      </c>
      <c r="F311" s="9">
        <v>12</v>
      </c>
      <c r="G311" s="9">
        <v>0</v>
      </c>
      <c r="H311" s="9">
        <v>0</v>
      </c>
      <c r="I311" s="9">
        <v>0</v>
      </c>
      <c r="J311" s="9">
        <v>0</v>
      </c>
      <c r="K311" s="9">
        <v>4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28</v>
      </c>
      <c r="Y311" s="9">
        <v>0</v>
      </c>
      <c r="Z311" s="9">
        <v>52</v>
      </c>
      <c r="AA311" s="9">
        <v>4</v>
      </c>
    </row>
    <row r="312" spans="1:27" x14ac:dyDescent="0.25">
      <c r="A312" s="9" t="s">
        <v>34</v>
      </c>
      <c r="B312" s="9" t="s">
        <v>30</v>
      </c>
      <c r="D312" s="9">
        <v>0</v>
      </c>
      <c r="E312" s="9">
        <v>0</v>
      </c>
      <c r="F312" s="9">
        <v>20</v>
      </c>
      <c r="G312" s="9">
        <v>0</v>
      </c>
      <c r="H312" s="9">
        <v>0</v>
      </c>
      <c r="I312" s="9">
        <v>0</v>
      </c>
      <c r="J312" s="9">
        <v>0</v>
      </c>
      <c r="K312" s="9">
        <v>12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44</v>
      </c>
      <c r="Y312" s="9">
        <v>0</v>
      </c>
      <c r="Z312" s="9">
        <v>20</v>
      </c>
      <c r="AA312" s="9">
        <v>4</v>
      </c>
    </row>
    <row r="313" spans="1:27" x14ac:dyDescent="0.25">
      <c r="A313" s="9" t="s">
        <v>34</v>
      </c>
      <c r="B313" s="9" t="s">
        <v>30</v>
      </c>
      <c r="D313" s="9">
        <v>0</v>
      </c>
      <c r="E313" s="9">
        <v>0</v>
      </c>
      <c r="F313" s="9">
        <v>20</v>
      </c>
      <c r="G313" s="9">
        <v>0</v>
      </c>
      <c r="H313" s="9">
        <v>0</v>
      </c>
      <c r="I313" s="9">
        <v>0</v>
      </c>
      <c r="J313" s="9">
        <v>0</v>
      </c>
      <c r="K313" s="9">
        <v>12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44</v>
      </c>
      <c r="Y313" s="9">
        <v>4</v>
      </c>
      <c r="Z313" s="9">
        <v>20</v>
      </c>
      <c r="AA313" s="9">
        <v>0</v>
      </c>
    </row>
    <row r="314" spans="1:27" x14ac:dyDescent="0.25">
      <c r="A314" s="9" t="s">
        <v>34</v>
      </c>
      <c r="B314" s="9" t="s">
        <v>30</v>
      </c>
      <c r="D314" s="9">
        <v>0</v>
      </c>
      <c r="E314" s="9">
        <v>0</v>
      </c>
      <c r="F314" s="9">
        <v>8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4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12</v>
      </c>
      <c r="Y314" s="9">
        <v>0</v>
      </c>
      <c r="Z314" s="9">
        <v>76</v>
      </c>
      <c r="AA314" s="9">
        <v>0</v>
      </c>
    </row>
    <row r="315" spans="1:27" x14ac:dyDescent="0.25">
      <c r="A315" s="9" t="s">
        <v>34</v>
      </c>
      <c r="B315" s="9" t="s">
        <v>30</v>
      </c>
      <c r="D315" s="9">
        <v>0</v>
      </c>
      <c r="E315" s="9">
        <v>0</v>
      </c>
      <c r="F315" s="9">
        <v>8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44</v>
      </c>
      <c r="Y315" s="9">
        <v>0</v>
      </c>
      <c r="Z315" s="9">
        <v>32</v>
      </c>
      <c r="AA315" s="9">
        <v>16</v>
      </c>
    </row>
    <row r="316" spans="1:27" x14ac:dyDescent="0.25">
      <c r="A316" s="9" t="s">
        <v>34</v>
      </c>
      <c r="B316" s="9" t="s">
        <v>30</v>
      </c>
      <c r="D316" s="9">
        <v>0</v>
      </c>
      <c r="E316" s="9">
        <v>0</v>
      </c>
      <c r="F316" s="9">
        <v>32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4</v>
      </c>
      <c r="P316" s="9">
        <v>0</v>
      </c>
      <c r="Q316" s="9">
        <v>0</v>
      </c>
      <c r="R316" s="9">
        <v>0</v>
      </c>
      <c r="S316" s="9">
        <v>0</v>
      </c>
      <c r="T316" s="9">
        <v>4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60</v>
      </c>
      <c r="AA316" s="9">
        <v>0</v>
      </c>
    </row>
    <row r="317" spans="1:27" s="10" customFormat="1" x14ac:dyDescent="0.25">
      <c r="A317" s="10" t="s">
        <v>34</v>
      </c>
      <c r="B317" s="10" t="s">
        <v>30</v>
      </c>
      <c r="C317" s="10" t="s">
        <v>84</v>
      </c>
      <c r="D317" s="10">
        <v>0</v>
      </c>
      <c r="E317" s="10">
        <v>0</v>
      </c>
      <c r="F317" s="10">
        <v>13.3333333333333</v>
      </c>
      <c r="G317" s="10">
        <v>0</v>
      </c>
      <c r="H317" s="10">
        <v>0</v>
      </c>
      <c r="I317" s="10">
        <v>0</v>
      </c>
      <c r="J317" s="10">
        <v>0</v>
      </c>
      <c r="K317" s="10">
        <v>7.4666666666666703</v>
      </c>
      <c r="L317" s="10">
        <v>0</v>
      </c>
      <c r="M317" s="10">
        <v>0.266666666666667</v>
      </c>
      <c r="N317" s="10">
        <v>0</v>
      </c>
      <c r="O317" s="10">
        <v>1.06666666666667</v>
      </c>
      <c r="P317" s="10">
        <v>0</v>
      </c>
      <c r="Q317" s="10">
        <v>0</v>
      </c>
      <c r="R317" s="10">
        <v>0.53333333333333299</v>
      </c>
      <c r="S317" s="10">
        <v>0</v>
      </c>
      <c r="T317" s="10">
        <v>4.2666666666666702</v>
      </c>
      <c r="U317" s="10">
        <v>0</v>
      </c>
      <c r="V317" s="10">
        <v>0</v>
      </c>
      <c r="W317" s="10">
        <v>0</v>
      </c>
      <c r="X317" s="10">
        <v>25.6</v>
      </c>
      <c r="Y317" s="10">
        <v>2.93333333333333</v>
      </c>
      <c r="Z317" s="10">
        <v>40.533333333333303</v>
      </c>
      <c r="AA317" s="10">
        <v>4</v>
      </c>
    </row>
    <row r="318" spans="1:27" s="10" customFormat="1" x14ac:dyDescent="0.25">
      <c r="A318" s="10" t="s">
        <v>34</v>
      </c>
      <c r="B318" s="10" t="s">
        <v>30</v>
      </c>
      <c r="C318" s="10" t="s">
        <v>83</v>
      </c>
      <c r="D318" s="10">
        <v>0</v>
      </c>
      <c r="E318" s="10">
        <v>0</v>
      </c>
      <c r="F318" s="10">
        <v>9.02905363389816</v>
      </c>
      <c r="G318" s="10">
        <v>0</v>
      </c>
      <c r="H318" s="10">
        <v>0</v>
      </c>
      <c r="I318" s="10">
        <v>0</v>
      </c>
      <c r="J318" s="10">
        <v>0</v>
      </c>
      <c r="K318" s="10">
        <v>9.7823942925665204</v>
      </c>
      <c r="L318" s="10">
        <v>0</v>
      </c>
      <c r="M318" s="10">
        <v>1.03279555898864</v>
      </c>
      <c r="N318" s="10">
        <v>0</v>
      </c>
      <c r="O318" s="10">
        <v>1.83095083286825</v>
      </c>
      <c r="P318" s="10">
        <v>0</v>
      </c>
      <c r="Q318" s="10">
        <v>0</v>
      </c>
      <c r="R318" s="10">
        <v>2.0655911179772901</v>
      </c>
      <c r="S318" s="10">
        <v>0</v>
      </c>
      <c r="T318" s="10">
        <v>10.1943027973378</v>
      </c>
      <c r="U318" s="10">
        <v>0</v>
      </c>
      <c r="V318" s="10">
        <v>0</v>
      </c>
      <c r="W318" s="10">
        <v>0</v>
      </c>
      <c r="X318" s="10">
        <v>18.380113477031902</v>
      </c>
      <c r="Y318" s="10">
        <v>4.1311822359545802</v>
      </c>
      <c r="Z318" s="10">
        <v>21.15880994043</v>
      </c>
      <c r="AA318" s="10">
        <v>5.0142653642240704</v>
      </c>
    </row>
    <row r="319" spans="1:27" s="10" customFormat="1" x14ac:dyDescent="0.25">
      <c r="A319" s="10" t="s">
        <v>34</v>
      </c>
      <c r="B319" s="10" t="s">
        <v>30</v>
      </c>
      <c r="C319" s="10" t="s">
        <v>82</v>
      </c>
      <c r="D319" s="10">
        <v>0</v>
      </c>
      <c r="E319" s="10">
        <v>0</v>
      </c>
      <c r="F319" s="10">
        <v>16</v>
      </c>
      <c r="G319" s="10">
        <v>0</v>
      </c>
      <c r="H319" s="10">
        <v>0</v>
      </c>
      <c r="I319" s="10">
        <v>0</v>
      </c>
      <c r="J319" s="10">
        <v>0</v>
      </c>
      <c r="K319" s="10">
        <v>4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24</v>
      </c>
      <c r="Y319" s="10">
        <v>0</v>
      </c>
      <c r="Z319" s="10">
        <v>36</v>
      </c>
      <c r="AA319" s="10">
        <v>4</v>
      </c>
    </row>
    <row r="320" spans="1:27" s="10" customFormat="1" x14ac:dyDescent="0.25">
      <c r="A320" s="10" t="s">
        <v>34</v>
      </c>
      <c r="B320" s="10" t="s">
        <v>30</v>
      </c>
      <c r="C320" s="10" t="s">
        <v>81</v>
      </c>
      <c r="D320" s="10">
        <v>0</v>
      </c>
      <c r="E320" s="10">
        <v>0</v>
      </c>
      <c r="F320" s="10">
        <v>8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12</v>
      </c>
      <c r="Y320" s="10">
        <v>0</v>
      </c>
      <c r="Z320" s="10">
        <v>20</v>
      </c>
      <c r="AA320" s="10">
        <v>0</v>
      </c>
    </row>
    <row r="321" spans="1:27" s="10" customFormat="1" x14ac:dyDescent="0.25">
      <c r="A321" s="10" t="s">
        <v>34</v>
      </c>
      <c r="B321" s="10" t="s">
        <v>30</v>
      </c>
      <c r="C321" s="10" t="s">
        <v>80</v>
      </c>
      <c r="D321" s="10">
        <v>0</v>
      </c>
      <c r="E321" s="10">
        <v>0</v>
      </c>
      <c r="F321" s="10">
        <v>20</v>
      </c>
      <c r="G321" s="10">
        <v>0</v>
      </c>
      <c r="H321" s="10">
        <v>0</v>
      </c>
      <c r="I321" s="10">
        <v>0</v>
      </c>
      <c r="J321" s="10">
        <v>0</v>
      </c>
      <c r="K321" s="10">
        <v>10</v>
      </c>
      <c r="L321" s="10">
        <v>0</v>
      </c>
      <c r="M321" s="10">
        <v>0</v>
      </c>
      <c r="N321" s="10">
        <v>0</v>
      </c>
      <c r="O321" s="10">
        <v>2</v>
      </c>
      <c r="P321" s="10">
        <v>0</v>
      </c>
      <c r="Q321" s="10">
        <v>0</v>
      </c>
      <c r="R321" s="10">
        <v>0</v>
      </c>
      <c r="S321" s="10">
        <v>0</v>
      </c>
      <c r="T321" s="10">
        <v>2</v>
      </c>
      <c r="U321" s="10">
        <v>0</v>
      </c>
      <c r="V321" s="10">
        <v>0</v>
      </c>
      <c r="W321" s="10">
        <v>0</v>
      </c>
      <c r="X321" s="10">
        <v>44</v>
      </c>
      <c r="Y321" s="10">
        <v>6</v>
      </c>
      <c r="Z321" s="10">
        <v>58</v>
      </c>
      <c r="AA321" s="10">
        <v>6</v>
      </c>
    </row>
    <row r="322" spans="1:27" x14ac:dyDescent="0.25">
      <c r="A322" s="9" t="s">
        <v>34</v>
      </c>
      <c r="B322" s="9" t="s">
        <v>31</v>
      </c>
      <c r="D322" s="9">
        <v>0</v>
      </c>
      <c r="E322" s="9">
        <v>0</v>
      </c>
      <c r="F322" s="9">
        <v>36</v>
      </c>
      <c r="G322" s="9">
        <v>0</v>
      </c>
      <c r="H322" s="9">
        <v>0</v>
      </c>
      <c r="I322" s="9">
        <v>0</v>
      </c>
      <c r="J322" s="9">
        <v>0</v>
      </c>
      <c r="K322" s="9">
        <v>4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4</v>
      </c>
      <c r="Y322" s="9">
        <v>0</v>
      </c>
      <c r="Z322" s="9">
        <v>56</v>
      </c>
      <c r="AA322" s="9">
        <v>0</v>
      </c>
    </row>
    <row r="323" spans="1:27" x14ac:dyDescent="0.25">
      <c r="A323" s="9" t="s">
        <v>34</v>
      </c>
      <c r="B323" s="9" t="s">
        <v>31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4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16</v>
      </c>
      <c r="Y323" s="9">
        <v>0</v>
      </c>
      <c r="Z323" s="9">
        <v>80</v>
      </c>
      <c r="AA323" s="9">
        <v>0</v>
      </c>
    </row>
    <row r="324" spans="1:27" x14ac:dyDescent="0.25">
      <c r="A324" s="9" t="s">
        <v>34</v>
      </c>
      <c r="B324" s="9" t="s">
        <v>31</v>
      </c>
      <c r="D324" s="9">
        <v>0</v>
      </c>
      <c r="E324" s="9">
        <v>0</v>
      </c>
      <c r="F324" s="9">
        <v>8</v>
      </c>
      <c r="G324" s="9">
        <v>0</v>
      </c>
      <c r="H324" s="9">
        <v>0</v>
      </c>
      <c r="I324" s="9">
        <v>0</v>
      </c>
      <c r="J324" s="9">
        <v>0</v>
      </c>
      <c r="K324" s="9">
        <v>4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36</v>
      </c>
      <c r="Y324" s="9">
        <v>4</v>
      </c>
      <c r="Z324" s="9">
        <v>48</v>
      </c>
      <c r="AA324" s="9">
        <v>0</v>
      </c>
    </row>
    <row r="325" spans="1:27" x14ac:dyDescent="0.25">
      <c r="A325" s="9" t="s">
        <v>34</v>
      </c>
      <c r="B325" s="9" t="s">
        <v>31</v>
      </c>
      <c r="D325" s="9">
        <v>0</v>
      </c>
      <c r="E325" s="9">
        <v>0</v>
      </c>
      <c r="F325" s="9">
        <v>36</v>
      </c>
      <c r="G325" s="9">
        <v>0</v>
      </c>
      <c r="H325" s="9">
        <v>0</v>
      </c>
      <c r="I325" s="9">
        <v>0</v>
      </c>
      <c r="J325" s="9">
        <v>0</v>
      </c>
      <c r="K325" s="9">
        <v>4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48</v>
      </c>
      <c r="Y325" s="9">
        <v>4</v>
      </c>
      <c r="Z325" s="9">
        <v>4</v>
      </c>
      <c r="AA325" s="9">
        <v>4</v>
      </c>
    </row>
    <row r="326" spans="1:27" x14ac:dyDescent="0.25">
      <c r="A326" s="9" t="s">
        <v>34</v>
      </c>
      <c r="B326" s="9" t="s">
        <v>31</v>
      </c>
      <c r="D326" s="9">
        <v>0</v>
      </c>
      <c r="E326" s="9">
        <v>0</v>
      </c>
      <c r="F326" s="9">
        <v>8</v>
      </c>
      <c r="G326" s="9">
        <v>0</v>
      </c>
      <c r="H326" s="9">
        <v>0</v>
      </c>
      <c r="I326" s="9">
        <v>0</v>
      </c>
      <c r="J326" s="9">
        <v>0</v>
      </c>
      <c r="K326" s="9">
        <v>8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8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44</v>
      </c>
      <c r="Y326" s="9">
        <v>0</v>
      </c>
      <c r="Z326" s="9">
        <v>24</v>
      </c>
      <c r="AA326" s="9">
        <v>8</v>
      </c>
    </row>
    <row r="327" spans="1:27" x14ac:dyDescent="0.25">
      <c r="A327" s="9" t="s">
        <v>34</v>
      </c>
      <c r="B327" s="9" t="s">
        <v>31</v>
      </c>
      <c r="D327" s="9">
        <v>0</v>
      </c>
      <c r="E327" s="9">
        <v>0</v>
      </c>
      <c r="F327" s="9">
        <v>32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48</v>
      </c>
      <c r="Y327" s="9">
        <v>8</v>
      </c>
      <c r="Z327" s="9">
        <v>4</v>
      </c>
      <c r="AA327" s="9">
        <v>8</v>
      </c>
    </row>
    <row r="328" spans="1:27" x14ac:dyDescent="0.25">
      <c r="A328" s="9" t="s">
        <v>34</v>
      </c>
      <c r="B328" s="9" t="s">
        <v>31</v>
      </c>
      <c r="D328" s="9">
        <v>0</v>
      </c>
      <c r="E328" s="9">
        <v>0</v>
      </c>
      <c r="F328" s="9">
        <v>52</v>
      </c>
      <c r="G328" s="9">
        <v>0</v>
      </c>
      <c r="H328" s="9">
        <v>0</v>
      </c>
      <c r="I328" s="9">
        <v>0</v>
      </c>
      <c r="J328" s="9">
        <v>0</v>
      </c>
      <c r="K328" s="9">
        <v>4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40</v>
      </c>
      <c r="Y328" s="9">
        <v>0</v>
      </c>
      <c r="Z328" s="9">
        <v>4</v>
      </c>
      <c r="AA328" s="9">
        <v>0</v>
      </c>
    </row>
    <row r="329" spans="1:27" x14ac:dyDescent="0.25">
      <c r="A329" s="9" t="s">
        <v>34</v>
      </c>
      <c r="B329" s="9" t="s">
        <v>31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4</v>
      </c>
      <c r="N329" s="9">
        <v>0</v>
      </c>
      <c r="O329" s="9">
        <v>8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88</v>
      </c>
      <c r="AA329" s="9">
        <v>0</v>
      </c>
    </row>
    <row r="330" spans="1:27" x14ac:dyDescent="0.25">
      <c r="A330" s="9" t="s">
        <v>34</v>
      </c>
      <c r="B330" s="9" t="s">
        <v>31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96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4</v>
      </c>
      <c r="AA330" s="9">
        <v>0</v>
      </c>
    </row>
    <row r="331" spans="1:27" x14ac:dyDescent="0.25">
      <c r="A331" s="9" t="s">
        <v>34</v>
      </c>
      <c r="B331" s="9" t="s">
        <v>31</v>
      </c>
      <c r="D331" s="9">
        <v>0</v>
      </c>
      <c r="E331" s="9">
        <v>0</v>
      </c>
      <c r="F331" s="9">
        <v>32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8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32</v>
      </c>
      <c r="Y331" s="9">
        <v>4</v>
      </c>
      <c r="Z331" s="9">
        <v>24</v>
      </c>
      <c r="AA331" s="9">
        <v>0</v>
      </c>
    </row>
    <row r="332" spans="1:27" x14ac:dyDescent="0.25">
      <c r="A332" s="9" t="s">
        <v>34</v>
      </c>
      <c r="B332" s="9" t="s">
        <v>31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8</v>
      </c>
      <c r="T332" s="9">
        <v>0</v>
      </c>
      <c r="U332" s="9">
        <v>0</v>
      </c>
      <c r="V332" s="9">
        <v>0</v>
      </c>
      <c r="W332" s="9">
        <v>0</v>
      </c>
      <c r="X332" s="9">
        <v>16</v>
      </c>
      <c r="Y332" s="9">
        <v>4</v>
      </c>
      <c r="Z332" s="9">
        <v>72</v>
      </c>
      <c r="AA332" s="9">
        <v>0</v>
      </c>
    </row>
    <row r="333" spans="1:27" x14ac:dyDescent="0.25">
      <c r="A333" s="9" t="s">
        <v>34</v>
      </c>
      <c r="B333" s="9" t="s">
        <v>31</v>
      </c>
      <c r="D333" s="9">
        <v>0</v>
      </c>
      <c r="E333" s="9">
        <v>0</v>
      </c>
      <c r="F333" s="9">
        <v>0</v>
      </c>
      <c r="G333" s="9">
        <v>36</v>
      </c>
      <c r="H333" s="9">
        <v>0</v>
      </c>
      <c r="I333" s="9">
        <v>0</v>
      </c>
      <c r="J333" s="9">
        <v>0</v>
      </c>
      <c r="K333" s="9">
        <v>8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12</v>
      </c>
      <c r="U333" s="9">
        <v>0</v>
      </c>
      <c r="V333" s="9">
        <v>0</v>
      </c>
      <c r="W333" s="9">
        <v>0</v>
      </c>
      <c r="X333" s="9">
        <v>4</v>
      </c>
      <c r="Y333" s="9">
        <v>0</v>
      </c>
      <c r="Z333" s="9">
        <v>40</v>
      </c>
      <c r="AA333" s="9">
        <v>0</v>
      </c>
    </row>
    <row r="334" spans="1:27" x14ac:dyDescent="0.25">
      <c r="A334" s="9" t="s">
        <v>34</v>
      </c>
      <c r="B334" s="9" t="s">
        <v>31</v>
      </c>
      <c r="D334" s="9">
        <v>0</v>
      </c>
      <c r="E334" s="9">
        <v>0</v>
      </c>
      <c r="F334" s="9">
        <v>28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4</v>
      </c>
      <c r="O334" s="9">
        <v>4</v>
      </c>
      <c r="P334" s="9">
        <v>0</v>
      </c>
      <c r="Q334" s="9">
        <v>4</v>
      </c>
      <c r="R334" s="9">
        <v>8</v>
      </c>
      <c r="S334" s="9">
        <v>0</v>
      </c>
      <c r="T334" s="9">
        <v>8</v>
      </c>
      <c r="U334" s="9">
        <v>0</v>
      </c>
      <c r="V334" s="9">
        <v>0</v>
      </c>
      <c r="W334" s="9">
        <v>0</v>
      </c>
      <c r="X334" s="9">
        <v>8</v>
      </c>
      <c r="Y334" s="9">
        <v>4</v>
      </c>
      <c r="Z334" s="9">
        <v>32</v>
      </c>
      <c r="AA334" s="9">
        <v>0</v>
      </c>
    </row>
    <row r="335" spans="1:27" x14ac:dyDescent="0.25">
      <c r="A335" s="9" t="s">
        <v>34</v>
      </c>
      <c r="B335" s="9" t="s">
        <v>31</v>
      </c>
      <c r="D335" s="9">
        <v>0</v>
      </c>
      <c r="E335" s="9">
        <v>0</v>
      </c>
      <c r="F335" s="9">
        <v>4</v>
      </c>
      <c r="G335" s="9">
        <v>0</v>
      </c>
      <c r="H335" s="9">
        <v>4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8</v>
      </c>
      <c r="Y335" s="9">
        <v>0</v>
      </c>
      <c r="Z335" s="9">
        <v>84</v>
      </c>
      <c r="AA335" s="9">
        <v>0</v>
      </c>
    </row>
    <row r="336" spans="1:27" x14ac:dyDescent="0.25">
      <c r="A336" s="9" t="s">
        <v>34</v>
      </c>
      <c r="B336" s="9" t="s">
        <v>31</v>
      </c>
      <c r="D336" s="9">
        <v>0</v>
      </c>
      <c r="E336" s="9">
        <v>0</v>
      </c>
      <c r="F336" s="9">
        <v>0</v>
      </c>
      <c r="G336" s="9">
        <v>0</v>
      </c>
      <c r="H336" s="9">
        <v>4</v>
      </c>
      <c r="I336" s="9">
        <v>0</v>
      </c>
      <c r="J336" s="9">
        <v>0</v>
      </c>
      <c r="K336" s="9">
        <v>4</v>
      </c>
      <c r="L336" s="9">
        <v>0</v>
      </c>
      <c r="M336" s="9">
        <v>0</v>
      </c>
      <c r="N336" s="9">
        <v>8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24</v>
      </c>
      <c r="Y336" s="9">
        <v>24</v>
      </c>
      <c r="Z336" s="9">
        <v>32</v>
      </c>
      <c r="AA336" s="9">
        <v>4</v>
      </c>
    </row>
    <row r="337" spans="1:27" s="10" customFormat="1" x14ac:dyDescent="0.25">
      <c r="A337" s="10" t="s">
        <v>34</v>
      </c>
      <c r="B337" s="10" t="s">
        <v>31</v>
      </c>
      <c r="C337" s="10" t="s">
        <v>84</v>
      </c>
      <c r="D337" s="10">
        <v>0</v>
      </c>
      <c r="E337" s="10">
        <v>0</v>
      </c>
      <c r="F337" s="10">
        <v>15.733333333333301</v>
      </c>
      <c r="G337" s="10">
        <v>2.4</v>
      </c>
      <c r="H337" s="10">
        <v>0.53333333333333299</v>
      </c>
      <c r="I337" s="10">
        <v>0</v>
      </c>
      <c r="J337" s="10">
        <v>0</v>
      </c>
      <c r="K337" s="10">
        <v>2.4</v>
      </c>
      <c r="L337" s="10">
        <v>0</v>
      </c>
      <c r="M337" s="10">
        <v>0.266666666666667</v>
      </c>
      <c r="N337" s="10">
        <v>0.8</v>
      </c>
      <c r="O337" s="10">
        <v>0.8</v>
      </c>
      <c r="P337" s="10">
        <v>0</v>
      </c>
      <c r="Q337" s="10">
        <v>0.266666666666667</v>
      </c>
      <c r="R337" s="10">
        <v>1.86666666666667</v>
      </c>
      <c r="S337" s="10">
        <v>0.53333333333333299</v>
      </c>
      <c r="T337" s="10">
        <v>7.7333333333333298</v>
      </c>
      <c r="U337" s="10">
        <v>0</v>
      </c>
      <c r="V337" s="10">
        <v>0</v>
      </c>
      <c r="W337" s="10">
        <v>0</v>
      </c>
      <c r="X337" s="10">
        <v>21.866666666666699</v>
      </c>
      <c r="Y337" s="10">
        <v>3.4666666666666699</v>
      </c>
      <c r="Z337" s="10">
        <v>39.733333333333299</v>
      </c>
      <c r="AA337" s="10">
        <v>1.6</v>
      </c>
    </row>
    <row r="338" spans="1:27" s="10" customFormat="1" x14ac:dyDescent="0.25">
      <c r="A338" s="10" t="s">
        <v>34</v>
      </c>
      <c r="B338" s="10" t="s">
        <v>31</v>
      </c>
      <c r="C338" s="10" t="s">
        <v>83</v>
      </c>
      <c r="D338" s="10">
        <v>0</v>
      </c>
      <c r="E338" s="10">
        <v>0</v>
      </c>
      <c r="F338" s="10">
        <v>18.0454452768031</v>
      </c>
      <c r="G338" s="10">
        <v>9.2951600308978009</v>
      </c>
      <c r="H338" s="10">
        <v>1.4074631010979901</v>
      </c>
      <c r="I338" s="10">
        <v>0</v>
      </c>
      <c r="J338" s="10">
        <v>0</v>
      </c>
      <c r="K338" s="10">
        <v>2.9471535904520301</v>
      </c>
      <c r="L338" s="10">
        <v>0</v>
      </c>
      <c r="M338" s="10">
        <v>1.03279555898864</v>
      </c>
      <c r="N338" s="10">
        <v>2.2424476423255499</v>
      </c>
      <c r="O338" s="10">
        <v>2.2424476423255499</v>
      </c>
      <c r="P338" s="10">
        <v>0</v>
      </c>
      <c r="Q338" s="10">
        <v>1.03279555898864</v>
      </c>
      <c r="R338" s="10">
        <v>3.3352375513311698</v>
      </c>
      <c r="S338" s="10">
        <v>2.0655911179772901</v>
      </c>
      <c r="T338" s="10">
        <v>24.679276056372998</v>
      </c>
      <c r="U338" s="10">
        <v>0</v>
      </c>
      <c r="V338" s="10">
        <v>0</v>
      </c>
      <c r="W338" s="10">
        <v>0</v>
      </c>
      <c r="X338" s="10">
        <v>18.007405883876402</v>
      </c>
      <c r="Y338" s="10">
        <v>6.20905636569527</v>
      </c>
      <c r="Z338" s="10">
        <v>30.480594919828398</v>
      </c>
      <c r="AA338" s="10">
        <v>2.9471535904520301</v>
      </c>
    </row>
    <row r="339" spans="1:27" s="10" customFormat="1" x14ac:dyDescent="0.25">
      <c r="A339" s="10" t="s">
        <v>34</v>
      </c>
      <c r="B339" s="10" t="s">
        <v>31</v>
      </c>
      <c r="C339" s="10" t="s">
        <v>82</v>
      </c>
      <c r="D339" s="10">
        <v>0</v>
      </c>
      <c r="E339" s="10">
        <v>0</v>
      </c>
      <c r="F339" s="10">
        <v>8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16</v>
      </c>
      <c r="Y339" s="10">
        <v>0</v>
      </c>
      <c r="Z339" s="10">
        <v>32</v>
      </c>
      <c r="AA339" s="10">
        <v>0</v>
      </c>
    </row>
    <row r="340" spans="1:27" s="10" customFormat="1" x14ac:dyDescent="0.25">
      <c r="A340" s="10" t="s">
        <v>34</v>
      </c>
      <c r="B340" s="10" t="s">
        <v>31</v>
      </c>
      <c r="C340" s="10" t="s">
        <v>81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6</v>
      </c>
      <c r="Y340" s="10">
        <v>0</v>
      </c>
      <c r="Z340" s="10">
        <v>14</v>
      </c>
      <c r="AA340" s="10">
        <v>0</v>
      </c>
    </row>
    <row r="341" spans="1:27" s="10" customFormat="1" x14ac:dyDescent="0.25">
      <c r="A341" s="10" t="s">
        <v>34</v>
      </c>
      <c r="B341" s="10" t="s">
        <v>31</v>
      </c>
      <c r="C341" s="10" t="s">
        <v>80</v>
      </c>
      <c r="D341" s="10">
        <v>0</v>
      </c>
      <c r="E341" s="10">
        <v>0</v>
      </c>
      <c r="F341" s="10">
        <v>32</v>
      </c>
      <c r="G341" s="10">
        <v>0</v>
      </c>
      <c r="H341" s="10">
        <v>0</v>
      </c>
      <c r="I341" s="10">
        <v>0</v>
      </c>
      <c r="J341" s="10">
        <v>0</v>
      </c>
      <c r="K341" s="10">
        <v>4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2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38</v>
      </c>
      <c r="Y341" s="10">
        <v>4</v>
      </c>
      <c r="Z341" s="10">
        <v>64</v>
      </c>
      <c r="AA341" s="10">
        <v>2</v>
      </c>
    </row>
    <row r="342" spans="1:27" x14ac:dyDescent="0.25">
      <c r="A342" s="9" t="s">
        <v>34</v>
      </c>
      <c r="B342" s="9" t="s">
        <v>32</v>
      </c>
      <c r="D342" s="9">
        <v>0</v>
      </c>
      <c r="E342" s="9">
        <v>0</v>
      </c>
      <c r="F342" s="9">
        <v>8</v>
      </c>
      <c r="G342" s="9">
        <v>0</v>
      </c>
      <c r="H342" s="9">
        <v>0</v>
      </c>
      <c r="I342" s="9">
        <v>0</v>
      </c>
      <c r="J342" s="9">
        <v>0</v>
      </c>
      <c r="K342" s="9">
        <v>12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64</v>
      </c>
      <c r="Y342" s="9">
        <v>0</v>
      </c>
      <c r="Z342" s="9">
        <v>4</v>
      </c>
      <c r="AA342" s="9">
        <v>12</v>
      </c>
    </row>
    <row r="343" spans="1:27" x14ac:dyDescent="0.25">
      <c r="A343" s="9" t="s">
        <v>34</v>
      </c>
      <c r="B343" s="9" t="s">
        <v>32</v>
      </c>
      <c r="D343" s="9">
        <v>0</v>
      </c>
      <c r="E343" s="9">
        <v>0</v>
      </c>
      <c r="F343" s="9">
        <v>16</v>
      </c>
      <c r="G343" s="9">
        <v>0</v>
      </c>
      <c r="H343" s="9">
        <v>0</v>
      </c>
      <c r="I343" s="9">
        <v>0</v>
      </c>
      <c r="J343" s="9">
        <v>0</v>
      </c>
      <c r="K343" s="9">
        <v>4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76</v>
      </c>
      <c r="Y343" s="9">
        <v>4</v>
      </c>
      <c r="Z343" s="9">
        <v>0</v>
      </c>
      <c r="AA343" s="9">
        <v>0</v>
      </c>
    </row>
    <row r="344" spans="1:27" x14ac:dyDescent="0.25">
      <c r="A344" s="9" t="s">
        <v>34</v>
      </c>
      <c r="B344" s="9" t="s">
        <v>32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8</v>
      </c>
      <c r="O344" s="9">
        <v>0</v>
      </c>
      <c r="P344" s="9">
        <v>0</v>
      </c>
      <c r="Q344" s="9">
        <v>4</v>
      </c>
      <c r="R344" s="9">
        <v>4</v>
      </c>
      <c r="S344" s="9">
        <v>0</v>
      </c>
      <c r="T344" s="9">
        <v>4</v>
      </c>
      <c r="U344" s="9">
        <v>0</v>
      </c>
      <c r="V344" s="9">
        <v>0</v>
      </c>
      <c r="W344" s="9">
        <v>0</v>
      </c>
      <c r="X344" s="9">
        <v>4</v>
      </c>
      <c r="Y344" s="9">
        <v>4</v>
      </c>
      <c r="Z344" s="9">
        <v>72</v>
      </c>
      <c r="AA344" s="9">
        <v>0</v>
      </c>
    </row>
    <row r="345" spans="1:27" x14ac:dyDescent="0.25">
      <c r="A345" s="9" t="s">
        <v>34</v>
      </c>
      <c r="B345" s="9" t="s">
        <v>32</v>
      </c>
      <c r="D345" s="9">
        <v>0</v>
      </c>
      <c r="E345" s="9">
        <v>0</v>
      </c>
      <c r="F345" s="9">
        <v>8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92</v>
      </c>
      <c r="AA345" s="9">
        <v>0</v>
      </c>
    </row>
    <row r="346" spans="1:27" x14ac:dyDescent="0.25">
      <c r="A346" s="9" t="s">
        <v>34</v>
      </c>
      <c r="B346" s="9" t="s">
        <v>32</v>
      </c>
      <c r="D346" s="9">
        <v>0</v>
      </c>
      <c r="E346" s="9">
        <v>0</v>
      </c>
      <c r="F346" s="9">
        <v>8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4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8</v>
      </c>
      <c r="Y346" s="9">
        <v>0</v>
      </c>
      <c r="Z346" s="9">
        <v>76</v>
      </c>
      <c r="AA346" s="9">
        <v>4</v>
      </c>
    </row>
    <row r="347" spans="1:27" x14ac:dyDescent="0.25">
      <c r="A347" s="9" t="s">
        <v>34</v>
      </c>
      <c r="B347" s="9" t="s">
        <v>32</v>
      </c>
      <c r="D347" s="9">
        <v>0</v>
      </c>
      <c r="E347" s="9">
        <v>0</v>
      </c>
      <c r="F347" s="9">
        <v>12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8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28</v>
      </c>
      <c r="Y347" s="9">
        <v>0</v>
      </c>
      <c r="Z347" s="9">
        <v>52</v>
      </c>
      <c r="AA347" s="9">
        <v>0</v>
      </c>
    </row>
    <row r="348" spans="1:27" x14ac:dyDescent="0.25">
      <c r="A348" s="9" t="s">
        <v>34</v>
      </c>
      <c r="B348" s="9" t="s">
        <v>32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4</v>
      </c>
      <c r="N348" s="9">
        <v>16</v>
      </c>
      <c r="O348" s="9">
        <v>0</v>
      </c>
      <c r="P348" s="9">
        <v>0</v>
      </c>
      <c r="Q348" s="9">
        <v>4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4</v>
      </c>
      <c r="Y348" s="9">
        <v>0</v>
      </c>
      <c r="Z348" s="9">
        <v>72</v>
      </c>
      <c r="AA348" s="9">
        <v>0</v>
      </c>
    </row>
    <row r="349" spans="1:27" x14ac:dyDescent="0.25">
      <c r="A349" s="9" t="s">
        <v>34</v>
      </c>
      <c r="B349" s="9" t="s">
        <v>32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12</v>
      </c>
      <c r="O349" s="9">
        <v>0</v>
      </c>
      <c r="P349" s="9">
        <v>0</v>
      </c>
      <c r="Q349" s="9">
        <v>8</v>
      </c>
      <c r="R349" s="9">
        <v>4</v>
      </c>
      <c r="S349" s="9">
        <v>0</v>
      </c>
      <c r="T349" s="9">
        <v>4</v>
      </c>
      <c r="U349" s="9">
        <v>0</v>
      </c>
      <c r="V349" s="9">
        <v>0</v>
      </c>
      <c r="W349" s="9">
        <v>0</v>
      </c>
      <c r="X349" s="9">
        <v>16</v>
      </c>
      <c r="Y349" s="9">
        <v>4</v>
      </c>
      <c r="Z349" s="9">
        <v>48</v>
      </c>
      <c r="AA349" s="9">
        <v>4</v>
      </c>
    </row>
    <row r="350" spans="1:27" x14ac:dyDescent="0.25">
      <c r="A350" s="9" t="s">
        <v>34</v>
      </c>
      <c r="B350" s="9" t="s">
        <v>32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100</v>
      </c>
      <c r="AA350" s="9">
        <v>0</v>
      </c>
    </row>
    <row r="351" spans="1:27" x14ac:dyDescent="0.25">
      <c r="A351" s="9" t="s">
        <v>34</v>
      </c>
      <c r="B351" s="9" t="s">
        <v>32</v>
      </c>
      <c r="D351" s="9">
        <v>0</v>
      </c>
      <c r="E351" s="9">
        <v>0</v>
      </c>
      <c r="F351" s="9">
        <v>0</v>
      </c>
      <c r="G351" s="9">
        <v>4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8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88</v>
      </c>
      <c r="AA351" s="9">
        <v>0</v>
      </c>
    </row>
    <row r="352" spans="1:27" x14ac:dyDescent="0.25">
      <c r="A352" s="9" t="s">
        <v>34</v>
      </c>
      <c r="B352" s="9" t="s">
        <v>32</v>
      </c>
      <c r="D352" s="9">
        <v>0</v>
      </c>
      <c r="E352" s="9">
        <v>0</v>
      </c>
      <c r="F352" s="9">
        <v>28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4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4</v>
      </c>
      <c r="Y352" s="9">
        <v>0</v>
      </c>
      <c r="Z352" s="9">
        <v>64</v>
      </c>
      <c r="AA352" s="9">
        <v>0</v>
      </c>
    </row>
    <row r="353" spans="1:27" x14ac:dyDescent="0.25">
      <c r="A353" s="9" t="s">
        <v>34</v>
      </c>
      <c r="B353" s="9" t="s">
        <v>32</v>
      </c>
      <c r="D353" s="9">
        <v>0</v>
      </c>
      <c r="E353" s="9">
        <v>0</v>
      </c>
      <c r="F353" s="9">
        <v>4</v>
      </c>
      <c r="G353" s="9">
        <v>0</v>
      </c>
      <c r="H353" s="9">
        <v>0</v>
      </c>
      <c r="I353" s="9">
        <v>0</v>
      </c>
      <c r="J353" s="9">
        <v>0</v>
      </c>
      <c r="K353" s="9">
        <v>4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4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36</v>
      </c>
      <c r="Y353" s="9">
        <v>0</v>
      </c>
      <c r="Z353" s="9">
        <v>52</v>
      </c>
      <c r="AA353" s="9">
        <v>0</v>
      </c>
    </row>
    <row r="354" spans="1:27" x14ac:dyDescent="0.25">
      <c r="A354" s="9" t="s">
        <v>34</v>
      </c>
      <c r="B354" s="9" t="s">
        <v>32</v>
      </c>
      <c r="D354" s="9">
        <v>0</v>
      </c>
      <c r="E354" s="9">
        <v>0</v>
      </c>
      <c r="F354" s="9">
        <v>12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4</v>
      </c>
      <c r="V354" s="9">
        <v>0</v>
      </c>
      <c r="W354" s="9">
        <v>0</v>
      </c>
      <c r="X354" s="9">
        <v>48</v>
      </c>
      <c r="Y354" s="9">
        <v>12</v>
      </c>
      <c r="Z354" s="9">
        <v>24</v>
      </c>
      <c r="AA354" s="9">
        <v>0</v>
      </c>
    </row>
    <row r="355" spans="1:27" x14ac:dyDescent="0.25">
      <c r="A355" s="9" t="s">
        <v>34</v>
      </c>
      <c r="B355" s="9" t="s">
        <v>32</v>
      </c>
      <c r="D355" s="9">
        <v>0</v>
      </c>
      <c r="E355" s="9">
        <v>0</v>
      </c>
      <c r="F355" s="9">
        <v>8</v>
      </c>
      <c r="G355" s="9">
        <v>0</v>
      </c>
      <c r="H355" s="9">
        <v>0</v>
      </c>
      <c r="I355" s="9">
        <v>0</v>
      </c>
      <c r="J355" s="9">
        <v>0</v>
      </c>
      <c r="K355" s="9">
        <v>20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60</v>
      </c>
      <c r="Y355" s="9">
        <v>0</v>
      </c>
      <c r="Z355" s="9">
        <v>4</v>
      </c>
      <c r="AA355" s="9">
        <v>8</v>
      </c>
    </row>
    <row r="356" spans="1:27" x14ac:dyDescent="0.25">
      <c r="A356" s="9" t="s">
        <v>34</v>
      </c>
      <c r="B356" s="9" t="s">
        <v>32</v>
      </c>
      <c r="D356" s="9">
        <v>0</v>
      </c>
      <c r="E356" s="9">
        <v>0</v>
      </c>
      <c r="F356" s="9">
        <v>8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4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8</v>
      </c>
      <c r="V356" s="9">
        <v>0</v>
      </c>
      <c r="W356" s="9">
        <v>0</v>
      </c>
      <c r="X356" s="9">
        <v>8</v>
      </c>
      <c r="Y356" s="9">
        <v>0</v>
      </c>
      <c r="Z356" s="9">
        <v>68</v>
      </c>
      <c r="AA356" s="9">
        <v>4</v>
      </c>
    </row>
    <row r="357" spans="1:27" s="10" customFormat="1" x14ac:dyDescent="0.25">
      <c r="A357" s="10" t="s">
        <v>34</v>
      </c>
      <c r="B357" s="10" t="s">
        <v>32</v>
      </c>
      <c r="C357" s="10" t="s">
        <v>84</v>
      </c>
      <c r="D357" s="10">
        <v>0</v>
      </c>
      <c r="E357" s="10">
        <v>0</v>
      </c>
      <c r="F357" s="10">
        <v>7.4666666666666703</v>
      </c>
      <c r="G357" s="10">
        <v>0.266666666666667</v>
      </c>
      <c r="H357" s="10">
        <v>0</v>
      </c>
      <c r="I357" s="10">
        <v>0</v>
      </c>
      <c r="J357" s="10">
        <v>0</v>
      </c>
      <c r="K357" s="10">
        <v>2.6666666666666701</v>
      </c>
      <c r="L357" s="10">
        <v>0</v>
      </c>
      <c r="M357" s="10">
        <v>0.266666666666667</v>
      </c>
      <c r="N357" s="10">
        <v>2.93333333333333</v>
      </c>
      <c r="O357" s="10">
        <v>0</v>
      </c>
      <c r="P357" s="10">
        <v>0</v>
      </c>
      <c r="Q357" s="10">
        <v>1.06666666666667</v>
      </c>
      <c r="R357" s="10">
        <v>2.1333333333333302</v>
      </c>
      <c r="S357" s="10">
        <v>0</v>
      </c>
      <c r="T357" s="10">
        <v>0.53333333333333299</v>
      </c>
      <c r="U357" s="10">
        <v>0.8</v>
      </c>
      <c r="V357" s="10">
        <v>0</v>
      </c>
      <c r="W357" s="10">
        <v>0</v>
      </c>
      <c r="X357" s="10">
        <v>23.733333333333299</v>
      </c>
      <c r="Y357" s="10">
        <v>1.6</v>
      </c>
      <c r="Z357" s="10">
        <v>54.4</v>
      </c>
      <c r="AA357" s="10">
        <v>2.1333333333333302</v>
      </c>
    </row>
    <row r="358" spans="1:27" s="10" customFormat="1" x14ac:dyDescent="0.25">
      <c r="A358" s="10" t="s">
        <v>34</v>
      </c>
      <c r="B358" s="10" t="s">
        <v>32</v>
      </c>
      <c r="C358" s="10" t="s">
        <v>83</v>
      </c>
      <c r="D358" s="10">
        <v>0</v>
      </c>
      <c r="E358" s="10">
        <v>0</v>
      </c>
      <c r="F358" s="10">
        <v>7.6892008377860401</v>
      </c>
      <c r="G358" s="10">
        <v>1.03279555898864</v>
      </c>
      <c r="H358" s="10">
        <v>0</v>
      </c>
      <c r="I358" s="10">
        <v>0</v>
      </c>
      <c r="J358" s="10">
        <v>0</v>
      </c>
      <c r="K358" s="10">
        <v>5.7899749156459697</v>
      </c>
      <c r="L358" s="10">
        <v>0</v>
      </c>
      <c r="M358" s="10">
        <v>1.03279555898864</v>
      </c>
      <c r="N358" s="10">
        <v>5.1195237873774797</v>
      </c>
      <c r="O358" s="10">
        <v>0</v>
      </c>
      <c r="P358" s="10">
        <v>0</v>
      </c>
      <c r="Q358" s="10">
        <v>2.37446735881865</v>
      </c>
      <c r="R358" s="10">
        <v>2.9728934118288302</v>
      </c>
      <c r="S358" s="10">
        <v>0</v>
      </c>
      <c r="T358" s="10">
        <v>1.4074631010979901</v>
      </c>
      <c r="U358" s="10">
        <v>2.2424476423255499</v>
      </c>
      <c r="V358" s="10">
        <v>0</v>
      </c>
      <c r="W358" s="10">
        <v>0</v>
      </c>
      <c r="X358" s="10">
        <v>26.510016076587998</v>
      </c>
      <c r="Y358" s="10">
        <v>3.3123146848433</v>
      </c>
      <c r="Z358" s="10">
        <v>32.734429231970097</v>
      </c>
      <c r="AA358" s="10">
        <v>3.6619016657365102</v>
      </c>
    </row>
    <row r="359" spans="1:27" s="10" customFormat="1" x14ac:dyDescent="0.25">
      <c r="A359" s="10" t="s">
        <v>34</v>
      </c>
      <c r="B359" s="10" t="s">
        <v>32</v>
      </c>
      <c r="C359" s="10" t="s">
        <v>82</v>
      </c>
      <c r="D359" s="10">
        <v>0</v>
      </c>
      <c r="E359" s="10">
        <v>0</v>
      </c>
      <c r="F359" s="10">
        <v>8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8</v>
      </c>
      <c r="Y359" s="10">
        <v>0</v>
      </c>
      <c r="Z359" s="10">
        <v>64</v>
      </c>
      <c r="AA359" s="10">
        <v>0</v>
      </c>
    </row>
    <row r="360" spans="1:27" s="10" customFormat="1" x14ac:dyDescent="0.25">
      <c r="A360" s="10" t="s">
        <v>34</v>
      </c>
      <c r="B360" s="10" t="s">
        <v>32</v>
      </c>
      <c r="C360" s="10" t="s">
        <v>81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4</v>
      </c>
      <c r="Y360" s="10">
        <v>0</v>
      </c>
      <c r="Z360" s="10">
        <v>36</v>
      </c>
      <c r="AA360" s="10">
        <v>0</v>
      </c>
    </row>
    <row r="361" spans="1:27" s="10" customFormat="1" x14ac:dyDescent="0.25">
      <c r="A361" s="10" t="s">
        <v>34</v>
      </c>
      <c r="B361" s="10" t="s">
        <v>32</v>
      </c>
      <c r="C361" s="10" t="s">
        <v>80</v>
      </c>
      <c r="D361" s="10">
        <v>0</v>
      </c>
      <c r="E361" s="10">
        <v>0</v>
      </c>
      <c r="F361" s="10">
        <v>10</v>
      </c>
      <c r="G361" s="10">
        <v>0</v>
      </c>
      <c r="H361" s="10">
        <v>0</v>
      </c>
      <c r="I361" s="10">
        <v>0</v>
      </c>
      <c r="J361" s="10">
        <v>0</v>
      </c>
      <c r="K361" s="10">
        <v>2</v>
      </c>
      <c r="L361" s="10">
        <v>0</v>
      </c>
      <c r="M361" s="10">
        <v>0</v>
      </c>
      <c r="N361" s="10">
        <v>4</v>
      </c>
      <c r="O361" s="10">
        <v>0</v>
      </c>
      <c r="P361" s="10">
        <v>0</v>
      </c>
      <c r="Q361" s="10">
        <v>0</v>
      </c>
      <c r="R361" s="10">
        <v>4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42</v>
      </c>
      <c r="Y361" s="10">
        <v>2</v>
      </c>
      <c r="Z361" s="10">
        <v>74</v>
      </c>
      <c r="AA361" s="10">
        <v>4</v>
      </c>
    </row>
    <row r="362" spans="1:27" x14ac:dyDescent="0.25">
      <c r="A362" s="9" t="s">
        <v>35</v>
      </c>
      <c r="B362" s="9" t="s">
        <v>27</v>
      </c>
      <c r="D362" s="9">
        <v>0</v>
      </c>
      <c r="E362" s="9">
        <v>0</v>
      </c>
      <c r="F362" s="9">
        <v>0</v>
      </c>
      <c r="G362" s="9">
        <v>8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8</v>
      </c>
      <c r="Y362" s="9">
        <v>8</v>
      </c>
      <c r="Z362" s="9">
        <v>76</v>
      </c>
      <c r="AA362" s="9">
        <v>0</v>
      </c>
    </row>
    <row r="363" spans="1:27" x14ac:dyDescent="0.25">
      <c r="A363" s="9" t="s">
        <v>35</v>
      </c>
      <c r="B363" s="9" t="s">
        <v>27</v>
      </c>
      <c r="D363" s="9">
        <v>0</v>
      </c>
      <c r="E363" s="9">
        <v>0</v>
      </c>
      <c r="F363" s="9">
        <v>24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4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12</v>
      </c>
      <c r="Y363" s="9">
        <v>4</v>
      </c>
      <c r="Z363" s="9">
        <v>52</v>
      </c>
      <c r="AA363" s="9">
        <v>4</v>
      </c>
    </row>
    <row r="364" spans="1:27" x14ac:dyDescent="0.25">
      <c r="A364" s="9" t="s">
        <v>35</v>
      </c>
      <c r="B364" s="9" t="s">
        <v>27</v>
      </c>
      <c r="D364" s="9">
        <v>0</v>
      </c>
      <c r="E364" s="9">
        <v>0</v>
      </c>
      <c r="F364" s="9">
        <v>28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4</v>
      </c>
      <c r="U364" s="9">
        <v>0</v>
      </c>
      <c r="V364" s="9">
        <v>0</v>
      </c>
      <c r="W364" s="9">
        <v>0</v>
      </c>
      <c r="X364" s="9">
        <v>8</v>
      </c>
      <c r="Y364" s="9">
        <v>0</v>
      </c>
      <c r="Z364" s="9">
        <v>60</v>
      </c>
      <c r="AA364" s="9">
        <v>0</v>
      </c>
    </row>
    <row r="365" spans="1:27" x14ac:dyDescent="0.25">
      <c r="A365" s="9" t="s">
        <v>35</v>
      </c>
      <c r="B365" s="9" t="s">
        <v>27</v>
      </c>
      <c r="D365" s="9">
        <v>0</v>
      </c>
      <c r="E365" s="9">
        <v>0</v>
      </c>
      <c r="F365" s="9">
        <v>20</v>
      </c>
      <c r="G365" s="9">
        <v>0</v>
      </c>
      <c r="H365" s="9">
        <v>0</v>
      </c>
      <c r="I365" s="9">
        <v>0</v>
      </c>
      <c r="J365" s="9">
        <v>0</v>
      </c>
      <c r="K365" s="9">
        <v>4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4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8</v>
      </c>
      <c r="Y365" s="9">
        <v>0</v>
      </c>
      <c r="Z365" s="9">
        <v>64</v>
      </c>
      <c r="AA365" s="9">
        <v>0</v>
      </c>
    </row>
    <row r="366" spans="1:27" x14ac:dyDescent="0.25">
      <c r="A366" s="9" t="s">
        <v>35</v>
      </c>
      <c r="B366" s="9" t="s">
        <v>27</v>
      </c>
      <c r="D366" s="9">
        <v>0</v>
      </c>
      <c r="E366" s="9">
        <v>0</v>
      </c>
      <c r="F366" s="9">
        <v>20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8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16</v>
      </c>
      <c r="Y366" s="9">
        <v>0</v>
      </c>
      <c r="Z366" s="9">
        <v>56</v>
      </c>
      <c r="AA366" s="9">
        <v>0</v>
      </c>
    </row>
    <row r="367" spans="1:27" x14ac:dyDescent="0.25">
      <c r="A367" s="9" t="s">
        <v>35</v>
      </c>
      <c r="B367" s="9" t="s">
        <v>27</v>
      </c>
      <c r="D367" s="9">
        <v>0</v>
      </c>
      <c r="E367" s="9">
        <v>0</v>
      </c>
      <c r="F367" s="9">
        <v>0</v>
      </c>
      <c r="G367" s="9">
        <v>20</v>
      </c>
      <c r="H367" s="9">
        <v>0</v>
      </c>
      <c r="I367" s="9">
        <v>0</v>
      </c>
      <c r="J367" s="9">
        <v>4</v>
      </c>
      <c r="K367" s="9">
        <v>4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32</v>
      </c>
      <c r="Y367" s="9">
        <v>0</v>
      </c>
      <c r="Z367" s="9">
        <v>32</v>
      </c>
      <c r="AA367" s="9">
        <v>8</v>
      </c>
    </row>
    <row r="368" spans="1:27" x14ac:dyDescent="0.25">
      <c r="A368" s="9" t="s">
        <v>35</v>
      </c>
      <c r="B368" s="9" t="s">
        <v>27</v>
      </c>
      <c r="D368" s="9">
        <v>0</v>
      </c>
      <c r="E368" s="9">
        <v>0</v>
      </c>
      <c r="F368" s="9">
        <v>0</v>
      </c>
      <c r="G368" s="9">
        <v>32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20</v>
      </c>
      <c r="Y368" s="9">
        <v>0</v>
      </c>
      <c r="Z368" s="9">
        <v>36</v>
      </c>
      <c r="AA368" s="9">
        <v>12</v>
      </c>
    </row>
    <row r="369" spans="1:27" x14ac:dyDescent="0.25">
      <c r="A369" s="9" t="s">
        <v>35</v>
      </c>
      <c r="B369" s="9" t="s">
        <v>27</v>
      </c>
      <c r="D369" s="9">
        <v>0</v>
      </c>
      <c r="E369" s="9">
        <v>0</v>
      </c>
      <c r="F369" s="9">
        <v>20</v>
      </c>
      <c r="G369" s="9">
        <v>0</v>
      </c>
      <c r="H369" s="9">
        <v>0</v>
      </c>
      <c r="I369" s="9">
        <v>0</v>
      </c>
      <c r="J369" s="9">
        <v>0</v>
      </c>
      <c r="K369" s="9">
        <v>4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8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16</v>
      </c>
      <c r="Y369" s="9">
        <v>0</v>
      </c>
      <c r="Z369" s="9">
        <v>48</v>
      </c>
      <c r="AA369" s="9">
        <v>4</v>
      </c>
    </row>
    <row r="370" spans="1:27" x14ac:dyDescent="0.25">
      <c r="A370" s="9" t="s">
        <v>35</v>
      </c>
      <c r="B370" s="9" t="s">
        <v>27</v>
      </c>
      <c r="D370" s="9">
        <v>0</v>
      </c>
      <c r="E370" s="9">
        <v>0</v>
      </c>
      <c r="F370" s="9">
        <v>0</v>
      </c>
      <c r="G370" s="9">
        <v>0</v>
      </c>
      <c r="H370" s="9">
        <v>8</v>
      </c>
      <c r="I370" s="9">
        <v>0</v>
      </c>
      <c r="J370" s="9">
        <v>0</v>
      </c>
      <c r="K370" s="9">
        <v>4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4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52</v>
      </c>
      <c r="Y370" s="9">
        <v>8</v>
      </c>
      <c r="Z370" s="9">
        <v>20</v>
      </c>
      <c r="AA370" s="9">
        <v>4</v>
      </c>
    </row>
    <row r="371" spans="1:27" x14ac:dyDescent="0.25">
      <c r="A371" s="9" t="s">
        <v>35</v>
      </c>
      <c r="B371" s="9" t="s">
        <v>27</v>
      </c>
      <c r="D371" s="9">
        <v>0</v>
      </c>
      <c r="E371" s="9">
        <v>0</v>
      </c>
      <c r="F371" s="9">
        <v>24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4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16</v>
      </c>
      <c r="Y371" s="9">
        <v>0</v>
      </c>
      <c r="Z371" s="9">
        <v>56</v>
      </c>
      <c r="AA371" s="9">
        <v>0</v>
      </c>
    </row>
    <row r="372" spans="1:27" x14ac:dyDescent="0.25">
      <c r="A372" s="9" t="s">
        <v>35</v>
      </c>
      <c r="B372" s="9" t="s">
        <v>27</v>
      </c>
      <c r="D372" s="9">
        <v>0</v>
      </c>
      <c r="E372" s="9">
        <v>0</v>
      </c>
      <c r="F372" s="9">
        <v>28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4</v>
      </c>
      <c r="Y372" s="9">
        <v>0</v>
      </c>
      <c r="Z372" s="9">
        <v>68</v>
      </c>
      <c r="AA372" s="9">
        <v>0</v>
      </c>
    </row>
    <row r="373" spans="1:27" x14ac:dyDescent="0.25">
      <c r="A373" s="9" t="s">
        <v>35</v>
      </c>
      <c r="B373" s="9" t="s">
        <v>27</v>
      </c>
      <c r="D373" s="9">
        <v>0</v>
      </c>
      <c r="E373" s="9">
        <v>0</v>
      </c>
      <c r="F373" s="9">
        <v>0</v>
      </c>
      <c r="G373" s="9">
        <v>24</v>
      </c>
      <c r="H373" s="9">
        <v>0</v>
      </c>
      <c r="I373" s="9">
        <v>0</v>
      </c>
      <c r="J373" s="9">
        <v>0</v>
      </c>
      <c r="K373" s="9">
        <v>8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12</v>
      </c>
      <c r="Y373" s="9">
        <v>4</v>
      </c>
      <c r="Z373" s="9">
        <v>52</v>
      </c>
      <c r="AA373" s="9">
        <v>0</v>
      </c>
    </row>
    <row r="374" spans="1:27" x14ac:dyDescent="0.25">
      <c r="A374" s="9" t="s">
        <v>35</v>
      </c>
      <c r="B374" s="9" t="s">
        <v>27</v>
      </c>
      <c r="D374" s="9">
        <v>0</v>
      </c>
      <c r="E374" s="9">
        <v>0</v>
      </c>
      <c r="F374" s="9">
        <v>8</v>
      </c>
      <c r="G374" s="9">
        <v>0</v>
      </c>
      <c r="H374" s="9">
        <v>0</v>
      </c>
      <c r="I374" s="9">
        <v>0</v>
      </c>
      <c r="J374" s="9">
        <v>0</v>
      </c>
      <c r="K374" s="9">
        <v>12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20</v>
      </c>
      <c r="Y374" s="9">
        <v>4</v>
      </c>
      <c r="Z374" s="9">
        <v>56</v>
      </c>
      <c r="AA374" s="9">
        <v>0</v>
      </c>
    </row>
    <row r="375" spans="1:27" x14ac:dyDescent="0.25">
      <c r="A375" s="9" t="s">
        <v>35</v>
      </c>
      <c r="B375" s="9" t="s">
        <v>27</v>
      </c>
      <c r="D375" s="9">
        <v>0</v>
      </c>
      <c r="E375" s="9">
        <v>0</v>
      </c>
      <c r="F375" s="9">
        <v>24</v>
      </c>
      <c r="G375" s="9">
        <v>8</v>
      </c>
      <c r="H375" s="9">
        <v>0</v>
      </c>
      <c r="I375" s="9">
        <v>0</v>
      </c>
      <c r="J375" s="9">
        <v>0</v>
      </c>
      <c r="K375" s="9">
        <v>8</v>
      </c>
      <c r="L375" s="9">
        <v>0</v>
      </c>
      <c r="M375" s="9">
        <v>0</v>
      </c>
      <c r="N375" s="9">
        <v>0</v>
      </c>
      <c r="O375" s="9">
        <v>4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20</v>
      </c>
      <c r="Y375" s="9">
        <v>0</v>
      </c>
      <c r="Z375" s="9">
        <v>36</v>
      </c>
      <c r="AA375" s="9">
        <v>0</v>
      </c>
    </row>
    <row r="376" spans="1:27" x14ac:dyDescent="0.25">
      <c r="A376" s="9" t="s">
        <v>35</v>
      </c>
      <c r="B376" s="9" t="s">
        <v>27</v>
      </c>
      <c r="D376" s="9">
        <v>0</v>
      </c>
      <c r="E376" s="9">
        <v>0</v>
      </c>
      <c r="F376" s="9">
        <v>8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4</v>
      </c>
      <c r="S376" s="9">
        <v>0</v>
      </c>
      <c r="T376" s="9">
        <v>0</v>
      </c>
      <c r="U376" s="9">
        <v>0</v>
      </c>
      <c r="V376" s="9">
        <v>0</v>
      </c>
      <c r="W376" s="9">
        <v>40</v>
      </c>
      <c r="X376" s="9">
        <v>8</v>
      </c>
      <c r="Y376" s="9">
        <v>8</v>
      </c>
      <c r="Z376" s="9">
        <v>28</v>
      </c>
      <c r="AA376" s="9">
        <v>4</v>
      </c>
    </row>
    <row r="377" spans="1:27" s="10" customFormat="1" x14ac:dyDescent="0.25">
      <c r="A377" s="10" t="s">
        <v>35</v>
      </c>
      <c r="B377" s="10" t="s">
        <v>27</v>
      </c>
      <c r="C377" s="10" t="s">
        <v>84</v>
      </c>
      <c r="D377" s="10">
        <v>0</v>
      </c>
      <c r="E377" s="10">
        <v>0</v>
      </c>
      <c r="F377" s="10">
        <v>13.6</v>
      </c>
      <c r="G377" s="10">
        <v>6.1333333333333302</v>
      </c>
      <c r="H377" s="10">
        <v>0.53333333333333299</v>
      </c>
      <c r="I377" s="10">
        <v>0</v>
      </c>
      <c r="J377" s="10">
        <v>0.266666666666667</v>
      </c>
      <c r="K377" s="10">
        <v>2.93333333333333</v>
      </c>
      <c r="L377" s="10">
        <v>0</v>
      </c>
      <c r="M377" s="10">
        <v>0</v>
      </c>
      <c r="N377" s="10">
        <v>0</v>
      </c>
      <c r="O377" s="10">
        <v>0.8</v>
      </c>
      <c r="P377" s="10">
        <v>0</v>
      </c>
      <c r="Q377" s="10">
        <v>0</v>
      </c>
      <c r="R377" s="10">
        <v>1.86666666666667</v>
      </c>
      <c r="S377" s="10">
        <v>0</v>
      </c>
      <c r="T377" s="10">
        <v>0.266666666666667</v>
      </c>
      <c r="U377" s="10">
        <v>0</v>
      </c>
      <c r="V377" s="10">
        <v>0</v>
      </c>
      <c r="W377" s="10">
        <v>2.6666666666666701</v>
      </c>
      <c r="X377" s="10">
        <v>16.8</v>
      </c>
      <c r="Y377" s="10">
        <v>2.4</v>
      </c>
      <c r="Z377" s="10">
        <v>49.3333333333333</v>
      </c>
      <c r="AA377" s="10">
        <v>2.4</v>
      </c>
    </row>
    <row r="378" spans="1:27" s="10" customFormat="1" x14ac:dyDescent="0.25">
      <c r="A378" s="10" t="s">
        <v>35</v>
      </c>
      <c r="B378" s="10" t="s">
        <v>27</v>
      </c>
      <c r="C378" s="10" t="s">
        <v>83</v>
      </c>
      <c r="D378" s="10">
        <v>0</v>
      </c>
      <c r="E378" s="10">
        <v>0</v>
      </c>
      <c r="F378" s="10">
        <v>11.4940978643078</v>
      </c>
      <c r="G378" s="10">
        <v>10.568596789320599</v>
      </c>
      <c r="H378" s="10">
        <v>2.0655911179772901</v>
      </c>
      <c r="I378" s="10">
        <v>0</v>
      </c>
      <c r="J378" s="10">
        <v>1.03279555898864</v>
      </c>
      <c r="K378" s="10">
        <v>3.8446004188930201</v>
      </c>
      <c r="L378" s="10">
        <v>0</v>
      </c>
      <c r="M378" s="10">
        <v>0</v>
      </c>
      <c r="N378" s="10">
        <v>0</v>
      </c>
      <c r="O378" s="10">
        <v>2.2424476423255499</v>
      </c>
      <c r="P378" s="10">
        <v>0</v>
      </c>
      <c r="Q378" s="10">
        <v>0</v>
      </c>
      <c r="R378" s="10">
        <v>2.5597618936887399</v>
      </c>
      <c r="S378" s="10">
        <v>0</v>
      </c>
      <c r="T378" s="10">
        <v>1.03279555898864</v>
      </c>
      <c r="U378" s="10">
        <v>0</v>
      </c>
      <c r="V378" s="10">
        <v>0</v>
      </c>
      <c r="W378" s="10">
        <v>10.3279555898864</v>
      </c>
      <c r="X378" s="10">
        <v>12.0190325258376</v>
      </c>
      <c r="Y378" s="10">
        <v>3.3123146848433</v>
      </c>
      <c r="Z378" s="10">
        <v>15.832456116050601</v>
      </c>
      <c r="AA378" s="10">
        <v>3.6410359593311998</v>
      </c>
    </row>
    <row r="379" spans="1:27" s="10" customFormat="1" x14ac:dyDescent="0.25">
      <c r="A379" s="10" t="s">
        <v>35</v>
      </c>
      <c r="B379" s="10" t="s">
        <v>27</v>
      </c>
      <c r="C379" s="10" t="s">
        <v>82</v>
      </c>
      <c r="D379" s="10">
        <v>0</v>
      </c>
      <c r="E379" s="10">
        <v>0</v>
      </c>
      <c r="F379" s="10">
        <v>20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16</v>
      </c>
      <c r="Y379" s="10">
        <v>0</v>
      </c>
      <c r="Z379" s="10">
        <v>52</v>
      </c>
      <c r="AA379" s="10">
        <v>0</v>
      </c>
    </row>
    <row r="380" spans="1:27" s="10" customFormat="1" x14ac:dyDescent="0.25">
      <c r="A380" s="10" t="s">
        <v>35</v>
      </c>
      <c r="B380" s="10" t="s">
        <v>27</v>
      </c>
      <c r="C380" s="10" t="s">
        <v>81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8</v>
      </c>
      <c r="Y380" s="10">
        <v>0</v>
      </c>
      <c r="Z380" s="10">
        <v>36</v>
      </c>
      <c r="AA380" s="10">
        <v>0</v>
      </c>
    </row>
    <row r="381" spans="1:27" s="10" customFormat="1" x14ac:dyDescent="0.25">
      <c r="A381" s="10" t="s">
        <v>35</v>
      </c>
      <c r="B381" s="10" t="s">
        <v>27</v>
      </c>
      <c r="C381" s="10" t="s">
        <v>80</v>
      </c>
      <c r="D381" s="10">
        <v>0</v>
      </c>
      <c r="E381" s="10">
        <v>0</v>
      </c>
      <c r="F381" s="10">
        <v>24</v>
      </c>
      <c r="G381" s="10">
        <v>8</v>
      </c>
      <c r="H381" s="10">
        <v>0</v>
      </c>
      <c r="I381" s="10">
        <v>0</v>
      </c>
      <c r="J381" s="10">
        <v>0</v>
      </c>
      <c r="K381" s="10">
        <v>4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4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20</v>
      </c>
      <c r="Y381" s="10">
        <v>4</v>
      </c>
      <c r="Z381" s="10">
        <v>58</v>
      </c>
      <c r="AA381" s="10">
        <v>4</v>
      </c>
    </row>
    <row r="382" spans="1:27" x14ac:dyDescent="0.25">
      <c r="A382" s="9" t="s">
        <v>35</v>
      </c>
      <c r="B382" s="9" t="s">
        <v>28</v>
      </c>
      <c r="D382" s="9">
        <v>0</v>
      </c>
      <c r="E382" s="9">
        <v>0</v>
      </c>
      <c r="F382" s="9">
        <v>28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72</v>
      </c>
      <c r="AA382" s="9">
        <v>0</v>
      </c>
    </row>
    <row r="383" spans="1:27" x14ac:dyDescent="0.25">
      <c r="A383" s="9" t="s">
        <v>35</v>
      </c>
      <c r="B383" s="9" t="s">
        <v>28</v>
      </c>
      <c r="D383" s="9">
        <v>0</v>
      </c>
      <c r="E383" s="9">
        <v>0</v>
      </c>
      <c r="F383" s="9">
        <v>0</v>
      </c>
      <c r="G383" s="9">
        <v>20</v>
      </c>
      <c r="H383" s="9">
        <v>4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8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8</v>
      </c>
      <c r="X383" s="9">
        <v>12</v>
      </c>
      <c r="Y383" s="9">
        <v>8</v>
      </c>
      <c r="Z383" s="9">
        <v>28</v>
      </c>
      <c r="AA383" s="9">
        <v>12</v>
      </c>
    </row>
    <row r="384" spans="1:27" x14ac:dyDescent="0.25">
      <c r="A384" s="9" t="s">
        <v>35</v>
      </c>
      <c r="B384" s="9" t="s">
        <v>28</v>
      </c>
      <c r="D384" s="9">
        <v>0</v>
      </c>
      <c r="E384" s="9">
        <v>0</v>
      </c>
      <c r="F384" s="9">
        <v>0</v>
      </c>
      <c r="G384" s="9">
        <v>16</v>
      </c>
      <c r="H384" s="9">
        <v>4</v>
      </c>
      <c r="I384" s="9">
        <v>0</v>
      </c>
      <c r="J384" s="9">
        <v>0</v>
      </c>
      <c r="K384" s="9">
        <v>12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40</v>
      </c>
      <c r="Y384" s="9">
        <v>4</v>
      </c>
      <c r="Z384" s="9">
        <v>16</v>
      </c>
      <c r="AA384" s="9">
        <v>8</v>
      </c>
    </row>
    <row r="385" spans="1:27" x14ac:dyDescent="0.25">
      <c r="A385" s="9" t="s">
        <v>35</v>
      </c>
      <c r="B385" s="9" t="s">
        <v>28</v>
      </c>
      <c r="D385" s="9">
        <v>0</v>
      </c>
      <c r="E385" s="9">
        <v>0</v>
      </c>
      <c r="F385" s="9">
        <v>28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36</v>
      </c>
      <c r="X385" s="9">
        <v>4</v>
      </c>
      <c r="Y385" s="9">
        <v>0</v>
      </c>
      <c r="Z385" s="9">
        <v>32</v>
      </c>
      <c r="AA385" s="9">
        <v>0</v>
      </c>
    </row>
    <row r="386" spans="1:27" x14ac:dyDescent="0.25">
      <c r="A386" s="9" t="s">
        <v>35</v>
      </c>
      <c r="B386" s="9" t="s">
        <v>28</v>
      </c>
      <c r="D386" s="9">
        <v>0</v>
      </c>
      <c r="E386" s="9">
        <v>0</v>
      </c>
      <c r="F386" s="9">
        <v>32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20</v>
      </c>
      <c r="Y386" s="9">
        <v>4</v>
      </c>
      <c r="Z386" s="9">
        <v>44</v>
      </c>
      <c r="AA386" s="9">
        <v>0</v>
      </c>
    </row>
    <row r="387" spans="1:27" x14ac:dyDescent="0.25">
      <c r="A387" s="9" t="s">
        <v>35</v>
      </c>
      <c r="B387" s="9" t="s">
        <v>28</v>
      </c>
      <c r="D387" s="9">
        <v>0</v>
      </c>
      <c r="E387" s="9">
        <v>0</v>
      </c>
      <c r="F387" s="9">
        <v>24</v>
      </c>
      <c r="G387" s="9">
        <v>0</v>
      </c>
      <c r="H387" s="9">
        <v>0</v>
      </c>
      <c r="I387" s="9">
        <v>0</v>
      </c>
      <c r="J387" s="9">
        <v>0</v>
      </c>
      <c r="K387" s="9">
        <v>4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20</v>
      </c>
      <c r="Y387" s="9">
        <v>4</v>
      </c>
      <c r="Z387" s="9">
        <v>48</v>
      </c>
      <c r="AA387" s="9">
        <v>0</v>
      </c>
    </row>
    <row r="388" spans="1:27" x14ac:dyDescent="0.25">
      <c r="A388" s="9" t="s">
        <v>35</v>
      </c>
      <c r="B388" s="9" t="s">
        <v>28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28</v>
      </c>
      <c r="L388" s="9">
        <v>0</v>
      </c>
      <c r="M388" s="9">
        <v>0</v>
      </c>
      <c r="N388" s="9">
        <v>0</v>
      </c>
      <c r="O388" s="9">
        <v>4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20</v>
      </c>
      <c r="Y388" s="9">
        <v>4</v>
      </c>
      <c r="Z388" s="9">
        <v>28</v>
      </c>
      <c r="AA388" s="9">
        <v>16</v>
      </c>
    </row>
    <row r="389" spans="1:27" x14ac:dyDescent="0.25">
      <c r="A389" s="9" t="s">
        <v>35</v>
      </c>
      <c r="B389" s="9" t="s">
        <v>28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36</v>
      </c>
      <c r="Y389" s="9">
        <v>8</v>
      </c>
      <c r="Z389" s="9">
        <v>44</v>
      </c>
      <c r="AA389" s="9">
        <v>12</v>
      </c>
    </row>
    <row r="390" spans="1:27" x14ac:dyDescent="0.25">
      <c r="A390" s="9" t="s">
        <v>35</v>
      </c>
      <c r="B390" s="9" t="s">
        <v>28</v>
      </c>
      <c r="D390" s="9">
        <v>0</v>
      </c>
      <c r="E390" s="9">
        <v>0</v>
      </c>
      <c r="F390" s="9">
        <v>12</v>
      </c>
      <c r="G390" s="9">
        <v>4</v>
      </c>
      <c r="H390" s="9">
        <v>0</v>
      </c>
      <c r="I390" s="9">
        <v>0</v>
      </c>
      <c r="J390" s="9">
        <v>0</v>
      </c>
      <c r="K390" s="9">
        <v>8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4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40</v>
      </c>
      <c r="Y390" s="9">
        <v>0</v>
      </c>
      <c r="Z390" s="9">
        <v>20</v>
      </c>
      <c r="AA390" s="9">
        <v>12</v>
      </c>
    </row>
    <row r="391" spans="1:27" x14ac:dyDescent="0.25">
      <c r="A391" s="9" t="s">
        <v>35</v>
      </c>
      <c r="B391" s="9" t="s">
        <v>28</v>
      </c>
      <c r="D391" s="9">
        <v>0</v>
      </c>
      <c r="E391" s="9">
        <v>0</v>
      </c>
      <c r="F391" s="9">
        <v>0</v>
      </c>
      <c r="G391" s="9">
        <v>28</v>
      </c>
      <c r="H391" s="9">
        <v>0</v>
      </c>
      <c r="I391" s="9">
        <v>0</v>
      </c>
      <c r="J391" s="9">
        <v>0</v>
      </c>
      <c r="K391" s="9">
        <v>8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4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16</v>
      </c>
      <c r="Y391" s="9">
        <v>0</v>
      </c>
      <c r="Z391" s="9">
        <v>36</v>
      </c>
      <c r="AA391" s="9">
        <v>8</v>
      </c>
    </row>
    <row r="392" spans="1:27" x14ac:dyDescent="0.25">
      <c r="A392" s="9" t="s">
        <v>35</v>
      </c>
      <c r="B392" s="9" t="s">
        <v>28</v>
      </c>
      <c r="D392" s="9">
        <v>0</v>
      </c>
      <c r="E392" s="9">
        <v>0</v>
      </c>
      <c r="F392" s="9">
        <v>8</v>
      </c>
      <c r="G392" s="9">
        <v>16</v>
      </c>
      <c r="H392" s="9">
        <v>0</v>
      </c>
      <c r="I392" s="9">
        <v>0</v>
      </c>
      <c r="J392" s="9">
        <v>0</v>
      </c>
      <c r="K392" s="9">
        <v>8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20</v>
      </c>
      <c r="Y392" s="9">
        <v>0</v>
      </c>
      <c r="Z392" s="9">
        <v>48</v>
      </c>
      <c r="AA392" s="9">
        <v>0</v>
      </c>
    </row>
    <row r="393" spans="1:27" x14ac:dyDescent="0.25">
      <c r="A393" s="9" t="s">
        <v>35</v>
      </c>
      <c r="B393" s="9" t="s">
        <v>28</v>
      </c>
      <c r="D393" s="9">
        <v>0</v>
      </c>
      <c r="E393" s="9">
        <v>0</v>
      </c>
      <c r="F393" s="9">
        <v>36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12</v>
      </c>
      <c r="Y393" s="9">
        <v>0</v>
      </c>
      <c r="Z393" s="9">
        <v>52</v>
      </c>
      <c r="AA393" s="9">
        <v>0</v>
      </c>
    </row>
    <row r="394" spans="1:27" x14ac:dyDescent="0.25">
      <c r="A394" s="9" t="s">
        <v>35</v>
      </c>
      <c r="B394" s="9" t="s">
        <v>28</v>
      </c>
      <c r="D394" s="9">
        <v>0</v>
      </c>
      <c r="E394" s="9">
        <v>0</v>
      </c>
      <c r="F394" s="9">
        <v>16</v>
      </c>
      <c r="G394" s="9">
        <v>0</v>
      </c>
      <c r="H394" s="9">
        <v>0</v>
      </c>
      <c r="I394" s="9">
        <v>0</v>
      </c>
      <c r="J394" s="9">
        <v>0</v>
      </c>
      <c r="K394" s="9">
        <v>8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4</v>
      </c>
      <c r="R394" s="9">
        <v>8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28</v>
      </c>
      <c r="Y394" s="9">
        <v>8</v>
      </c>
      <c r="Z394" s="9">
        <v>24</v>
      </c>
      <c r="AA394" s="9">
        <v>4</v>
      </c>
    </row>
    <row r="395" spans="1:27" x14ac:dyDescent="0.25">
      <c r="A395" s="9" t="s">
        <v>35</v>
      </c>
      <c r="B395" s="9" t="s">
        <v>28</v>
      </c>
      <c r="D395" s="9">
        <v>0</v>
      </c>
      <c r="E395" s="9">
        <v>0</v>
      </c>
      <c r="F395" s="9">
        <v>8</v>
      </c>
      <c r="G395" s="9">
        <v>28</v>
      </c>
      <c r="H395" s="9">
        <v>0</v>
      </c>
      <c r="I395" s="9">
        <v>0</v>
      </c>
      <c r="J395" s="9">
        <v>0</v>
      </c>
      <c r="K395" s="9">
        <v>4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24</v>
      </c>
      <c r="Y395" s="9">
        <v>0</v>
      </c>
      <c r="Z395" s="9">
        <v>20</v>
      </c>
      <c r="AA395" s="9">
        <v>16</v>
      </c>
    </row>
    <row r="396" spans="1:27" x14ac:dyDescent="0.25">
      <c r="A396" s="9" t="s">
        <v>35</v>
      </c>
      <c r="B396" s="9" t="s">
        <v>28</v>
      </c>
      <c r="D396" s="9">
        <v>0</v>
      </c>
      <c r="E396" s="9">
        <v>0</v>
      </c>
      <c r="F396" s="9">
        <v>20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4</v>
      </c>
      <c r="Y396" s="9">
        <v>0</v>
      </c>
      <c r="Z396" s="9">
        <v>76</v>
      </c>
      <c r="AA396" s="9">
        <v>0</v>
      </c>
    </row>
    <row r="397" spans="1:27" s="10" customFormat="1" x14ac:dyDescent="0.25">
      <c r="A397" s="10" t="s">
        <v>35</v>
      </c>
      <c r="B397" s="10" t="s">
        <v>28</v>
      </c>
      <c r="C397" s="10" t="s">
        <v>84</v>
      </c>
      <c r="D397" s="10">
        <v>0</v>
      </c>
      <c r="E397" s="10">
        <v>0</v>
      </c>
      <c r="F397" s="10">
        <v>14.133333333333301</v>
      </c>
      <c r="G397" s="10">
        <v>7.4666666666666703</v>
      </c>
      <c r="H397" s="10">
        <v>0.53333333333333299</v>
      </c>
      <c r="I397" s="10">
        <v>0</v>
      </c>
      <c r="J397" s="10">
        <v>0</v>
      </c>
      <c r="K397" s="10">
        <v>5.3333333333333304</v>
      </c>
      <c r="L397" s="10">
        <v>0</v>
      </c>
      <c r="M397" s="10">
        <v>0</v>
      </c>
      <c r="N397" s="10">
        <v>0</v>
      </c>
      <c r="O397" s="10">
        <v>0.8</v>
      </c>
      <c r="P397" s="10">
        <v>0</v>
      </c>
      <c r="Q397" s="10">
        <v>0.266666666666667</v>
      </c>
      <c r="R397" s="10">
        <v>1.06666666666667</v>
      </c>
      <c r="S397" s="10">
        <v>0</v>
      </c>
      <c r="T397" s="10">
        <v>0</v>
      </c>
      <c r="U397" s="10">
        <v>0</v>
      </c>
      <c r="V397" s="10">
        <v>0</v>
      </c>
      <c r="W397" s="10">
        <v>2.93333333333333</v>
      </c>
      <c r="X397" s="10">
        <v>19.733333333333299</v>
      </c>
      <c r="Y397" s="10">
        <v>2.6666666666666701</v>
      </c>
      <c r="Z397" s="10">
        <v>39.200000000000003</v>
      </c>
      <c r="AA397" s="10">
        <v>5.8666666666666698</v>
      </c>
    </row>
    <row r="398" spans="1:27" s="10" customFormat="1" x14ac:dyDescent="0.25">
      <c r="A398" s="10" t="s">
        <v>35</v>
      </c>
      <c r="B398" s="10" t="s">
        <v>28</v>
      </c>
      <c r="C398" s="10" t="s">
        <v>83</v>
      </c>
      <c r="D398" s="10">
        <v>0</v>
      </c>
      <c r="E398" s="10">
        <v>0</v>
      </c>
      <c r="F398" s="10">
        <v>13.0814299495051</v>
      </c>
      <c r="G398" s="10">
        <v>10.888176199547001</v>
      </c>
      <c r="H398" s="10">
        <v>1.4074631010979901</v>
      </c>
      <c r="I398" s="10">
        <v>0</v>
      </c>
      <c r="J398" s="10">
        <v>0</v>
      </c>
      <c r="K398" s="10">
        <v>7.5087250835912496</v>
      </c>
      <c r="L398" s="10">
        <v>0</v>
      </c>
      <c r="M398" s="10">
        <v>0</v>
      </c>
      <c r="N398" s="10">
        <v>0</v>
      </c>
      <c r="O398" s="10">
        <v>2.2424476423255499</v>
      </c>
      <c r="P398" s="10">
        <v>0</v>
      </c>
      <c r="Q398" s="10">
        <v>1.03279555898864</v>
      </c>
      <c r="R398" s="10">
        <v>2.37446735881865</v>
      </c>
      <c r="S398" s="10">
        <v>0</v>
      </c>
      <c r="T398" s="10">
        <v>0</v>
      </c>
      <c r="U398" s="10">
        <v>0</v>
      </c>
      <c r="V398" s="10">
        <v>0</v>
      </c>
      <c r="W398" s="10">
        <v>9.3767696742433397</v>
      </c>
      <c r="X398" s="10">
        <v>12.5098056777569</v>
      </c>
      <c r="Y398" s="10">
        <v>3.2659863237109001</v>
      </c>
      <c r="Z398" s="10">
        <v>18.154889148656299</v>
      </c>
      <c r="AA398" s="10">
        <v>6.3904690937438398</v>
      </c>
    </row>
    <row r="399" spans="1:27" s="10" customFormat="1" x14ac:dyDescent="0.25">
      <c r="A399" s="10" t="s">
        <v>35</v>
      </c>
      <c r="B399" s="10" t="s">
        <v>28</v>
      </c>
      <c r="C399" s="10" t="s">
        <v>82</v>
      </c>
      <c r="D399" s="10">
        <v>0</v>
      </c>
      <c r="E399" s="10">
        <v>0</v>
      </c>
      <c r="F399" s="10">
        <v>12</v>
      </c>
      <c r="G399" s="10">
        <v>0</v>
      </c>
      <c r="H399" s="10">
        <v>0</v>
      </c>
      <c r="I399" s="10">
        <v>0</v>
      </c>
      <c r="J399" s="10">
        <v>0</v>
      </c>
      <c r="K399" s="10">
        <v>4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20</v>
      </c>
      <c r="Y399" s="10">
        <v>0</v>
      </c>
      <c r="Z399" s="10">
        <v>36</v>
      </c>
      <c r="AA399" s="10">
        <v>4</v>
      </c>
    </row>
    <row r="400" spans="1:27" s="10" customFormat="1" x14ac:dyDescent="0.25">
      <c r="A400" s="10" t="s">
        <v>35</v>
      </c>
      <c r="B400" s="10" t="s">
        <v>28</v>
      </c>
      <c r="C400" s="10" t="s">
        <v>81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12</v>
      </c>
      <c r="Y400" s="10">
        <v>0</v>
      </c>
      <c r="Z400" s="10">
        <v>26</v>
      </c>
      <c r="AA400" s="10">
        <v>0</v>
      </c>
    </row>
    <row r="401" spans="1:27" s="10" customFormat="1" x14ac:dyDescent="0.25">
      <c r="A401" s="10" t="s">
        <v>35</v>
      </c>
      <c r="B401" s="10" t="s">
        <v>28</v>
      </c>
      <c r="C401" s="10" t="s">
        <v>80</v>
      </c>
      <c r="D401" s="10">
        <v>0</v>
      </c>
      <c r="E401" s="10">
        <v>0</v>
      </c>
      <c r="F401" s="10">
        <v>26</v>
      </c>
      <c r="G401" s="10">
        <v>16</v>
      </c>
      <c r="H401" s="10">
        <v>0</v>
      </c>
      <c r="I401" s="10">
        <v>0</v>
      </c>
      <c r="J401" s="10">
        <v>0</v>
      </c>
      <c r="K401" s="10">
        <v>8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26</v>
      </c>
      <c r="Y401" s="10">
        <v>4</v>
      </c>
      <c r="Z401" s="10">
        <v>48</v>
      </c>
      <c r="AA401" s="10">
        <v>12</v>
      </c>
    </row>
    <row r="402" spans="1:27" x14ac:dyDescent="0.25">
      <c r="A402" s="9" t="s">
        <v>35</v>
      </c>
      <c r="B402" s="9" t="s">
        <v>29</v>
      </c>
      <c r="D402" s="9">
        <v>0</v>
      </c>
      <c r="E402" s="9">
        <v>0</v>
      </c>
      <c r="F402" s="9">
        <v>16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4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40</v>
      </c>
      <c r="Y402" s="9">
        <v>0</v>
      </c>
      <c r="Z402" s="9">
        <v>36</v>
      </c>
      <c r="AA402" s="9">
        <v>4</v>
      </c>
    </row>
    <row r="403" spans="1:27" x14ac:dyDescent="0.25">
      <c r="A403" s="9" t="s">
        <v>35</v>
      </c>
      <c r="B403" s="9" t="s">
        <v>29</v>
      </c>
      <c r="D403" s="9">
        <v>0</v>
      </c>
      <c r="E403" s="9">
        <v>0</v>
      </c>
      <c r="F403" s="9">
        <v>24</v>
      </c>
      <c r="G403" s="9">
        <v>0</v>
      </c>
      <c r="H403" s="9">
        <v>0</v>
      </c>
      <c r="I403" s="9">
        <v>0</v>
      </c>
      <c r="J403" s="9">
        <v>0</v>
      </c>
      <c r="K403" s="9">
        <v>32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4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12</v>
      </c>
      <c r="Y403" s="9">
        <v>0</v>
      </c>
      <c r="Z403" s="9">
        <v>28</v>
      </c>
      <c r="AA403" s="9">
        <v>0</v>
      </c>
    </row>
    <row r="404" spans="1:27" x14ac:dyDescent="0.25">
      <c r="A404" s="9" t="s">
        <v>35</v>
      </c>
      <c r="B404" s="9" t="s">
        <v>29</v>
      </c>
      <c r="D404" s="9">
        <v>0</v>
      </c>
      <c r="E404" s="9">
        <v>0</v>
      </c>
      <c r="F404" s="9">
        <v>24</v>
      </c>
      <c r="G404" s="9">
        <v>0</v>
      </c>
      <c r="H404" s="9">
        <v>0</v>
      </c>
      <c r="I404" s="9">
        <v>0</v>
      </c>
      <c r="J404" s="9">
        <v>0</v>
      </c>
      <c r="K404" s="9">
        <v>4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4</v>
      </c>
      <c r="Y404" s="9">
        <v>0</v>
      </c>
      <c r="Z404" s="9">
        <v>68</v>
      </c>
      <c r="AA404" s="9">
        <v>0</v>
      </c>
    </row>
    <row r="405" spans="1:27" x14ac:dyDescent="0.25">
      <c r="A405" s="9" t="s">
        <v>35</v>
      </c>
      <c r="B405" s="9" t="s">
        <v>29</v>
      </c>
      <c r="D405" s="9">
        <v>0</v>
      </c>
      <c r="E405" s="9">
        <v>0</v>
      </c>
      <c r="F405" s="9">
        <v>36</v>
      </c>
      <c r="G405" s="9">
        <v>0</v>
      </c>
      <c r="H405" s="9">
        <v>0</v>
      </c>
      <c r="I405" s="9">
        <v>0</v>
      </c>
      <c r="J405" s="9">
        <v>0</v>
      </c>
      <c r="K405" s="9">
        <v>4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4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44</v>
      </c>
      <c r="Y405" s="9">
        <v>0</v>
      </c>
      <c r="Z405" s="9">
        <v>12</v>
      </c>
      <c r="AA405" s="9">
        <v>0</v>
      </c>
    </row>
    <row r="406" spans="1:27" x14ac:dyDescent="0.25">
      <c r="A406" s="9" t="s">
        <v>35</v>
      </c>
      <c r="B406" s="9" t="s">
        <v>29</v>
      </c>
      <c r="D406" s="9">
        <v>0</v>
      </c>
      <c r="E406" s="9">
        <v>0</v>
      </c>
      <c r="F406" s="9">
        <v>12</v>
      </c>
      <c r="G406" s="9">
        <v>0</v>
      </c>
      <c r="H406" s="9">
        <v>0</v>
      </c>
      <c r="I406" s="9">
        <v>0</v>
      </c>
      <c r="J406" s="9">
        <v>0</v>
      </c>
      <c r="K406" s="9">
        <v>8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20</v>
      </c>
      <c r="Y406" s="9">
        <v>0</v>
      </c>
      <c r="Z406" s="9">
        <v>60</v>
      </c>
      <c r="AA406" s="9">
        <v>0</v>
      </c>
    </row>
    <row r="407" spans="1:27" x14ac:dyDescent="0.25">
      <c r="A407" s="9" t="s">
        <v>35</v>
      </c>
      <c r="B407" s="9" t="s">
        <v>29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4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16</v>
      </c>
      <c r="Y407" s="9">
        <v>0</v>
      </c>
      <c r="Z407" s="9">
        <v>76</v>
      </c>
      <c r="AA407" s="9">
        <v>4</v>
      </c>
    </row>
    <row r="408" spans="1:27" x14ac:dyDescent="0.25">
      <c r="A408" s="9" t="s">
        <v>35</v>
      </c>
      <c r="B408" s="9" t="s">
        <v>29</v>
      </c>
      <c r="D408" s="9">
        <v>0</v>
      </c>
      <c r="E408" s="9">
        <v>0</v>
      </c>
      <c r="F408" s="9">
        <v>8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20</v>
      </c>
      <c r="X408" s="9">
        <v>4</v>
      </c>
      <c r="Y408" s="9">
        <v>4</v>
      </c>
      <c r="Z408" s="9">
        <v>64</v>
      </c>
      <c r="AA408" s="9">
        <v>0</v>
      </c>
    </row>
    <row r="409" spans="1:27" x14ac:dyDescent="0.25">
      <c r="A409" s="9" t="s">
        <v>35</v>
      </c>
      <c r="B409" s="9" t="s">
        <v>29</v>
      </c>
      <c r="D409" s="9">
        <v>0</v>
      </c>
      <c r="E409" s="9">
        <v>0</v>
      </c>
      <c r="F409" s="9">
        <v>28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12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60</v>
      </c>
      <c r="AA409" s="9">
        <v>0</v>
      </c>
    </row>
    <row r="410" spans="1:27" x14ac:dyDescent="0.25">
      <c r="A410" s="9" t="s">
        <v>35</v>
      </c>
      <c r="B410" s="9" t="s">
        <v>29</v>
      </c>
      <c r="D410" s="9">
        <v>0</v>
      </c>
      <c r="E410" s="9">
        <v>0</v>
      </c>
      <c r="F410" s="9">
        <v>20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12</v>
      </c>
      <c r="S410" s="9">
        <v>0</v>
      </c>
      <c r="T410" s="9">
        <v>0</v>
      </c>
      <c r="U410" s="9">
        <v>0</v>
      </c>
      <c r="V410" s="9">
        <v>0</v>
      </c>
      <c r="W410" s="9">
        <v>16</v>
      </c>
      <c r="X410" s="9">
        <v>20</v>
      </c>
      <c r="Y410" s="9">
        <v>0</v>
      </c>
      <c r="Z410" s="9">
        <v>32</v>
      </c>
      <c r="AA410" s="9">
        <v>0</v>
      </c>
    </row>
    <row r="411" spans="1:27" x14ac:dyDescent="0.25">
      <c r="A411" s="9" t="s">
        <v>35</v>
      </c>
      <c r="B411" s="9" t="s">
        <v>29</v>
      </c>
      <c r="D411" s="9">
        <v>0</v>
      </c>
      <c r="E411" s="9">
        <v>0</v>
      </c>
      <c r="F411" s="9">
        <v>28</v>
      </c>
      <c r="G411" s="9">
        <v>0</v>
      </c>
      <c r="H411" s="9">
        <v>0</v>
      </c>
      <c r="I411" s="9">
        <v>0</v>
      </c>
      <c r="J411" s="9">
        <v>0</v>
      </c>
      <c r="K411" s="9">
        <v>4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4</v>
      </c>
      <c r="X411" s="9">
        <v>12</v>
      </c>
      <c r="Y411" s="9">
        <v>8</v>
      </c>
      <c r="Z411" s="9">
        <v>44</v>
      </c>
      <c r="AA411" s="9">
        <v>0</v>
      </c>
    </row>
    <row r="412" spans="1:27" x14ac:dyDescent="0.25">
      <c r="A412" s="9" t="s">
        <v>35</v>
      </c>
      <c r="B412" s="9" t="s">
        <v>29</v>
      </c>
      <c r="D412" s="9">
        <v>4</v>
      </c>
      <c r="E412" s="9">
        <v>0</v>
      </c>
      <c r="F412" s="9">
        <v>0</v>
      </c>
      <c r="G412" s="9">
        <v>12</v>
      </c>
      <c r="H412" s="9">
        <v>0</v>
      </c>
      <c r="I412" s="9">
        <v>0</v>
      </c>
      <c r="J412" s="9">
        <v>0</v>
      </c>
      <c r="K412" s="9">
        <v>4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20</v>
      </c>
      <c r="X412" s="9">
        <v>12</v>
      </c>
      <c r="Y412" s="9">
        <v>4</v>
      </c>
      <c r="Z412" s="9">
        <v>44</v>
      </c>
      <c r="AA412" s="9">
        <v>0</v>
      </c>
    </row>
    <row r="413" spans="1:27" x14ac:dyDescent="0.25">
      <c r="A413" s="9" t="s">
        <v>35</v>
      </c>
      <c r="B413" s="9" t="s">
        <v>29</v>
      </c>
      <c r="D413" s="9">
        <v>0</v>
      </c>
      <c r="E413" s="9">
        <v>0</v>
      </c>
      <c r="F413" s="9">
        <v>24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4</v>
      </c>
      <c r="Y413" s="9">
        <v>0</v>
      </c>
      <c r="Z413" s="9">
        <v>68</v>
      </c>
      <c r="AA413" s="9">
        <v>4</v>
      </c>
    </row>
    <row r="414" spans="1:27" x14ac:dyDescent="0.25">
      <c r="A414" s="9" t="s">
        <v>35</v>
      </c>
      <c r="B414" s="9" t="s">
        <v>29</v>
      </c>
      <c r="D414" s="9">
        <v>0</v>
      </c>
      <c r="E414" s="9">
        <v>0</v>
      </c>
      <c r="F414" s="9">
        <v>12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8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4</v>
      </c>
      <c r="Y414" s="9">
        <v>0</v>
      </c>
      <c r="Z414" s="9">
        <v>76</v>
      </c>
      <c r="AA414" s="9">
        <v>0</v>
      </c>
    </row>
    <row r="415" spans="1:27" x14ac:dyDescent="0.25">
      <c r="A415" s="9" t="s">
        <v>35</v>
      </c>
      <c r="B415" s="9" t="s">
        <v>29</v>
      </c>
      <c r="D415" s="9">
        <v>0</v>
      </c>
      <c r="E415" s="9">
        <v>0</v>
      </c>
      <c r="F415" s="9">
        <v>8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4</v>
      </c>
      <c r="Y415" s="9">
        <v>4</v>
      </c>
      <c r="Z415" s="9">
        <v>84</v>
      </c>
      <c r="AA415" s="9">
        <v>0</v>
      </c>
    </row>
    <row r="416" spans="1:27" x14ac:dyDescent="0.25">
      <c r="A416" s="9" t="s">
        <v>35</v>
      </c>
      <c r="B416" s="9" t="s">
        <v>29</v>
      </c>
      <c r="D416" s="9">
        <v>0</v>
      </c>
      <c r="E416" s="9">
        <v>0</v>
      </c>
      <c r="F416" s="9">
        <v>24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4</v>
      </c>
      <c r="S416" s="9">
        <v>0</v>
      </c>
      <c r="T416" s="9">
        <v>0</v>
      </c>
      <c r="U416" s="9">
        <v>0</v>
      </c>
      <c r="V416" s="9">
        <v>0</v>
      </c>
      <c r="W416" s="9">
        <v>4</v>
      </c>
      <c r="X416" s="9">
        <v>4</v>
      </c>
      <c r="Y416" s="9">
        <v>0</v>
      </c>
      <c r="Z416" s="9">
        <v>64</v>
      </c>
      <c r="AA416" s="9">
        <v>0</v>
      </c>
    </row>
    <row r="417" spans="1:27" s="10" customFormat="1" x14ac:dyDescent="0.25">
      <c r="A417" s="10" t="s">
        <v>35</v>
      </c>
      <c r="B417" s="10" t="s">
        <v>29</v>
      </c>
      <c r="C417" s="10" t="s">
        <v>84</v>
      </c>
      <c r="D417" s="10">
        <v>0.266666666666667</v>
      </c>
      <c r="E417" s="10">
        <v>0</v>
      </c>
      <c r="F417" s="10">
        <v>17.600000000000001</v>
      </c>
      <c r="G417" s="10">
        <v>0.8</v>
      </c>
      <c r="H417" s="10">
        <v>0</v>
      </c>
      <c r="I417" s="10">
        <v>0</v>
      </c>
      <c r="J417" s="10">
        <v>0</v>
      </c>
      <c r="K417" s="10">
        <v>3.7333333333333298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3.4666666666666699</v>
      </c>
      <c r="S417" s="10">
        <v>0</v>
      </c>
      <c r="T417" s="10">
        <v>0</v>
      </c>
      <c r="U417" s="10">
        <v>0</v>
      </c>
      <c r="V417" s="10">
        <v>0</v>
      </c>
      <c r="W417" s="10">
        <v>4.2666666666666702</v>
      </c>
      <c r="X417" s="10">
        <v>13.3333333333333</v>
      </c>
      <c r="Y417" s="10">
        <v>1.3333333333333299</v>
      </c>
      <c r="Z417" s="10">
        <v>54.4</v>
      </c>
      <c r="AA417" s="10">
        <v>0.8</v>
      </c>
    </row>
    <row r="418" spans="1:27" s="10" customFormat="1" x14ac:dyDescent="0.25">
      <c r="A418" s="10" t="s">
        <v>35</v>
      </c>
      <c r="B418" s="10" t="s">
        <v>29</v>
      </c>
      <c r="C418" s="10" t="s">
        <v>83</v>
      </c>
      <c r="D418" s="10">
        <v>1.03279555898864</v>
      </c>
      <c r="E418" s="10">
        <v>0</v>
      </c>
      <c r="F418" s="10">
        <v>10.6690473533756</v>
      </c>
      <c r="G418" s="10">
        <v>3.0983866769659301</v>
      </c>
      <c r="H418" s="10">
        <v>0</v>
      </c>
      <c r="I418" s="10">
        <v>0</v>
      </c>
      <c r="J418" s="10">
        <v>0</v>
      </c>
      <c r="K418" s="10">
        <v>8.2068496362721906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4.2403953095144802</v>
      </c>
      <c r="S418" s="10">
        <v>0</v>
      </c>
      <c r="T418" s="10">
        <v>0</v>
      </c>
      <c r="U418" s="10">
        <v>0</v>
      </c>
      <c r="V418" s="10">
        <v>0</v>
      </c>
      <c r="W418" s="10">
        <v>7.6295166170291404</v>
      </c>
      <c r="X418" s="10">
        <v>13.2377526505859</v>
      </c>
      <c r="Y418" s="10">
        <v>2.4688535993934702</v>
      </c>
      <c r="Z418" s="10">
        <v>20.663286974037501</v>
      </c>
      <c r="AA418" s="10">
        <v>1.65615734242165</v>
      </c>
    </row>
    <row r="419" spans="1:27" s="10" customFormat="1" x14ac:dyDescent="0.25">
      <c r="A419" s="10" t="s">
        <v>35</v>
      </c>
      <c r="B419" s="10" t="s">
        <v>29</v>
      </c>
      <c r="C419" s="10" t="s">
        <v>82</v>
      </c>
      <c r="D419" s="10">
        <v>0</v>
      </c>
      <c r="E419" s="10">
        <v>0</v>
      </c>
      <c r="F419" s="10">
        <v>20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4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12</v>
      </c>
      <c r="Y419" s="10">
        <v>0</v>
      </c>
      <c r="Z419" s="10">
        <v>60</v>
      </c>
      <c r="AA419" s="10">
        <v>0</v>
      </c>
    </row>
    <row r="420" spans="1:27" s="10" customFormat="1" x14ac:dyDescent="0.25">
      <c r="A420" s="10" t="s">
        <v>35</v>
      </c>
      <c r="B420" s="10" t="s">
        <v>29</v>
      </c>
      <c r="C420" s="10" t="s">
        <v>81</v>
      </c>
      <c r="D420" s="10">
        <v>0</v>
      </c>
      <c r="E420" s="10">
        <v>0</v>
      </c>
      <c r="F420" s="10">
        <v>10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4</v>
      </c>
      <c r="Y420" s="10">
        <v>0</v>
      </c>
      <c r="Z420" s="10">
        <v>40</v>
      </c>
      <c r="AA420" s="10">
        <v>0</v>
      </c>
    </row>
    <row r="421" spans="1:27" s="10" customFormat="1" x14ac:dyDescent="0.25">
      <c r="A421" s="10" t="s">
        <v>35</v>
      </c>
      <c r="B421" s="10" t="s">
        <v>29</v>
      </c>
      <c r="C421" s="10" t="s">
        <v>80</v>
      </c>
      <c r="D421" s="10">
        <v>0</v>
      </c>
      <c r="E421" s="10">
        <v>0</v>
      </c>
      <c r="F421" s="10">
        <v>24</v>
      </c>
      <c r="G421" s="10">
        <v>0</v>
      </c>
      <c r="H421" s="10">
        <v>0</v>
      </c>
      <c r="I421" s="10">
        <v>0</v>
      </c>
      <c r="J421" s="10">
        <v>0</v>
      </c>
      <c r="K421" s="10">
        <v>4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4</v>
      </c>
      <c r="S421" s="10">
        <v>0</v>
      </c>
      <c r="T421" s="10">
        <v>0</v>
      </c>
      <c r="U421" s="10">
        <v>0</v>
      </c>
      <c r="V421" s="10">
        <v>0</v>
      </c>
      <c r="W421" s="10">
        <v>4</v>
      </c>
      <c r="X421" s="10">
        <v>18</v>
      </c>
      <c r="Y421" s="10">
        <v>2</v>
      </c>
      <c r="Z421" s="10">
        <v>68</v>
      </c>
      <c r="AA421" s="10">
        <v>0</v>
      </c>
    </row>
    <row r="422" spans="1:27" x14ac:dyDescent="0.25">
      <c r="A422" s="9" t="s">
        <v>35</v>
      </c>
      <c r="B422" s="9" t="s">
        <v>30</v>
      </c>
      <c r="D422" s="9">
        <v>8</v>
      </c>
      <c r="E422" s="9">
        <v>0</v>
      </c>
      <c r="F422" s="9">
        <v>16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4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4</v>
      </c>
      <c r="Y422" s="9">
        <v>0</v>
      </c>
      <c r="Z422" s="9">
        <v>68</v>
      </c>
      <c r="AA422" s="9">
        <v>0</v>
      </c>
    </row>
    <row r="423" spans="1:27" x14ac:dyDescent="0.25">
      <c r="A423" s="9" t="s">
        <v>35</v>
      </c>
      <c r="B423" s="9" t="s">
        <v>30</v>
      </c>
      <c r="D423" s="9">
        <v>8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4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12</v>
      </c>
      <c r="Y423" s="9">
        <v>0</v>
      </c>
      <c r="Z423" s="9">
        <v>76</v>
      </c>
      <c r="AA423" s="9">
        <v>0</v>
      </c>
    </row>
    <row r="424" spans="1:27" x14ac:dyDescent="0.25">
      <c r="A424" s="9" t="s">
        <v>35</v>
      </c>
      <c r="B424" s="9" t="s">
        <v>30</v>
      </c>
      <c r="D424" s="9">
        <v>0</v>
      </c>
      <c r="E424" s="9">
        <v>0</v>
      </c>
      <c r="F424" s="9">
        <v>28</v>
      </c>
      <c r="G424" s="9">
        <v>0</v>
      </c>
      <c r="H424" s="9">
        <v>0</v>
      </c>
      <c r="I424" s="9">
        <v>0</v>
      </c>
      <c r="J424" s="9">
        <v>0</v>
      </c>
      <c r="K424" s="9">
        <v>4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68</v>
      </c>
      <c r="AA424" s="9">
        <v>0</v>
      </c>
    </row>
    <row r="425" spans="1:27" x14ac:dyDescent="0.25">
      <c r="A425" s="9" t="s">
        <v>35</v>
      </c>
      <c r="B425" s="9" t="s">
        <v>30</v>
      </c>
      <c r="D425" s="9">
        <v>0</v>
      </c>
      <c r="E425" s="9">
        <v>0</v>
      </c>
      <c r="F425" s="9">
        <v>20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4</v>
      </c>
      <c r="Y425" s="9">
        <v>0</v>
      </c>
      <c r="Z425" s="9">
        <v>76</v>
      </c>
      <c r="AA425" s="9">
        <v>0</v>
      </c>
    </row>
    <row r="426" spans="1:27" x14ac:dyDescent="0.25">
      <c r="A426" s="9" t="s">
        <v>35</v>
      </c>
      <c r="B426" s="9" t="s">
        <v>30</v>
      </c>
      <c r="D426" s="9">
        <v>0</v>
      </c>
      <c r="E426" s="9">
        <v>0</v>
      </c>
      <c r="F426" s="9">
        <v>0</v>
      </c>
      <c r="G426" s="9">
        <v>8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8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84</v>
      </c>
      <c r="AA426" s="9">
        <v>0</v>
      </c>
    </row>
    <row r="427" spans="1:27" x14ac:dyDescent="0.25">
      <c r="A427" s="9" t="s">
        <v>35</v>
      </c>
      <c r="B427" s="9" t="s">
        <v>30</v>
      </c>
      <c r="D427" s="9">
        <v>0</v>
      </c>
      <c r="E427" s="9">
        <v>0</v>
      </c>
      <c r="F427" s="9">
        <v>20</v>
      </c>
      <c r="G427" s="9">
        <v>0</v>
      </c>
      <c r="H427" s="9">
        <v>0</v>
      </c>
      <c r="I427" s="9">
        <v>0</v>
      </c>
      <c r="J427" s="9">
        <v>0</v>
      </c>
      <c r="K427" s="9">
        <v>8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72</v>
      </c>
      <c r="AA427" s="9">
        <v>0</v>
      </c>
    </row>
    <row r="428" spans="1:27" x14ac:dyDescent="0.25">
      <c r="A428" s="9" t="s">
        <v>35</v>
      </c>
      <c r="B428" s="9" t="s">
        <v>30</v>
      </c>
      <c r="D428" s="9">
        <v>0</v>
      </c>
      <c r="E428" s="9">
        <v>0</v>
      </c>
      <c r="F428" s="9">
        <v>20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4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20</v>
      </c>
      <c r="Y428" s="9">
        <v>0</v>
      </c>
      <c r="Z428" s="9">
        <v>56</v>
      </c>
      <c r="AA428" s="9">
        <v>0</v>
      </c>
    </row>
    <row r="429" spans="1:27" x14ac:dyDescent="0.25">
      <c r="A429" s="9" t="s">
        <v>35</v>
      </c>
      <c r="B429" s="9" t="s">
        <v>30</v>
      </c>
      <c r="D429" s="9">
        <v>0</v>
      </c>
      <c r="E429" s="9">
        <v>0</v>
      </c>
      <c r="F429" s="9">
        <v>24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4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16</v>
      </c>
      <c r="Y429" s="9">
        <v>0</v>
      </c>
      <c r="Z429" s="9">
        <v>56</v>
      </c>
      <c r="AA429" s="9">
        <v>0</v>
      </c>
    </row>
    <row r="430" spans="1:27" x14ac:dyDescent="0.25">
      <c r="A430" s="9" t="s">
        <v>35</v>
      </c>
      <c r="B430" s="9" t="s">
        <v>30</v>
      </c>
      <c r="D430" s="9">
        <v>0</v>
      </c>
      <c r="E430" s="9">
        <v>0</v>
      </c>
      <c r="F430" s="9">
        <v>20</v>
      </c>
      <c r="G430" s="9">
        <v>0</v>
      </c>
      <c r="H430" s="9">
        <v>0</v>
      </c>
      <c r="I430" s="9">
        <v>0</v>
      </c>
      <c r="J430" s="9">
        <v>0</v>
      </c>
      <c r="K430" s="9">
        <v>4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76</v>
      </c>
      <c r="AA430" s="9">
        <v>0</v>
      </c>
    </row>
    <row r="431" spans="1:27" x14ac:dyDescent="0.25">
      <c r="A431" s="9" t="s">
        <v>35</v>
      </c>
      <c r="B431" s="9" t="s">
        <v>30</v>
      </c>
      <c r="D431" s="9">
        <v>0</v>
      </c>
      <c r="E431" s="9">
        <v>0</v>
      </c>
      <c r="F431" s="9">
        <v>20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8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16</v>
      </c>
      <c r="Y431" s="9">
        <v>0</v>
      </c>
      <c r="Z431" s="9">
        <v>56</v>
      </c>
      <c r="AA431" s="9">
        <v>0</v>
      </c>
    </row>
    <row r="432" spans="1:27" x14ac:dyDescent="0.25">
      <c r="A432" s="9" t="s">
        <v>35</v>
      </c>
      <c r="B432" s="9" t="s">
        <v>30</v>
      </c>
      <c r="D432" s="9">
        <v>0</v>
      </c>
      <c r="E432" s="9">
        <v>0</v>
      </c>
      <c r="F432" s="9">
        <v>20</v>
      </c>
      <c r="G432" s="9">
        <v>0</v>
      </c>
      <c r="H432" s="9">
        <v>0</v>
      </c>
      <c r="I432" s="9">
        <v>0</v>
      </c>
      <c r="J432" s="9">
        <v>0</v>
      </c>
      <c r="K432" s="9">
        <v>8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4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24</v>
      </c>
      <c r="Y432" s="9">
        <v>0</v>
      </c>
      <c r="Z432" s="9">
        <v>40</v>
      </c>
      <c r="AA432" s="9">
        <v>4</v>
      </c>
    </row>
    <row r="433" spans="1:27" x14ac:dyDescent="0.25">
      <c r="A433" s="9" t="s">
        <v>35</v>
      </c>
      <c r="B433" s="9" t="s">
        <v>30</v>
      </c>
      <c r="D433" s="9">
        <v>0</v>
      </c>
      <c r="E433" s="9">
        <v>0</v>
      </c>
      <c r="F433" s="9">
        <v>16</v>
      </c>
      <c r="G433" s="9">
        <v>0</v>
      </c>
      <c r="H433" s="9">
        <v>0</v>
      </c>
      <c r="I433" s="9">
        <v>0</v>
      </c>
      <c r="J433" s="9">
        <v>0</v>
      </c>
      <c r="K433" s="9">
        <v>8</v>
      </c>
      <c r="L433" s="9">
        <v>0</v>
      </c>
      <c r="M433" s="9">
        <v>0</v>
      </c>
      <c r="N433" s="9">
        <v>0</v>
      </c>
      <c r="O433" s="9">
        <v>4</v>
      </c>
      <c r="P433" s="9">
        <v>0</v>
      </c>
      <c r="Q433" s="9">
        <v>0</v>
      </c>
      <c r="R433" s="9">
        <v>4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16</v>
      </c>
      <c r="Y433" s="9">
        <v>4</v>
      </c>
      <c r="Z433" s="9">
        <v>48</v>
      </c>
      <c r="AA433" s="9">
        <v>0</v>
      </c>
    </row>
    <row r="434" spans="1:27" x14ac:dyDescent="0.25">
      <c r="A434" s="9" t="s">
        <v>35</v>
      </c>
      <c r="B434" s="9" t="s">
        <v>30</v>
      </c>
      <c r="D434" s="9">
        <v>0</v>
      </c>
      <c r="E434" s="9">
        <v>0</v>
      </c>
      <c r="F434" s="9">
        <v>20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4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16</v>
      </c>
      <c r="Y434" s="9">
        <v>0</v>
      </c>
      <c r="Z434" s="9">
        <v>60</v>
      </c>
      <c r="AA434" s="9">
        <v>0</v>
      </c>
    </row>
    <row r="435" spans="1:27" x14ac:dyDescent="0.25">
      <c r="A435" s="9" t="s">
        <v>35</v>
      </c>
      <c r="B435" s="9" t="s">
        <v>30</v>
      </c>
      <c r="D435" s="9">
        <v>0</v>
      </c>
      <c r="E435" s="9">
        <v>0</v>
      </c>
      <c r="F435" s="9">
        <v>32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4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64</v>
      </c>
      <c r="AA435" s="9">
        <v>0</v>
      </c>
    </row>
    <row r="436" spans="1:27" x14ac:dyDescent="0.25">
      <c r="A436" s="9" t="s">
        <v>35</v>
      </c>
      <c r="B436" s="9" t="s">
        <v>30</v>
      </c>
      <c r="D436" s="9">
        <v>0</v>
      </c>
      <c r="E436" s="9">
        <v>0</v>
      </c>
      <c r="F436" s="9">
        <v>16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84</v>
      </c>
      <c r="AA436" s="9">
        <v>0</v>
      </c>
    </row>
    <row r="437" spans="1:27" s="10" customFormat="1" x14ac:dyDescent="0.25">
      <c r="A437" s="10" t="s">
        <v>35</v>
      </c>
      <c r="B437" s="10" t="s">
        <v>30</v>
      </c>
      <c r="C437" s="10" t="s">
        <v>84</v>
      </c>
      <c r="D437" s="10">
        <v>1.06666666666667</v>
      </c>
      <c r="E437" s="10">
        <v>0</v>
      </c>
      <c r="F437" s="10">
        <v>18.133333333333301</v>
      </c>
      <c r="G437" s="10">
        <v>0.53333333333333299</v>
      </c>
      <c r="H437" s="10">
        <v>0</v>
      </c>
      <c r="I437" s="10">
        <v>0</v>
      </c>
      <c r="J437" s="10">
        <v>0</v>
      </c>
      <c r="K437" s="10">
        <v>2.1333333333333302</v>
      </c>
      <c r="L437" s="10">
        <v>0</v>
      </c>
      <c r="M437" s="10">
        <v>0</v>
      </c>
      <c r="N437" s="10">
        <v>0.266666666666667</v>
      </c>
      <c r="O437" s="10">
        <v>0.53333333333333299</v>
      </c>
      <c r="P437" s="10">
        <v>0</v>
      </c>
      <c r="Q437" s="10">
        <v>0</v>
      </c>
      <c r="R437" s="10">
        <v>2.6666666666666701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8.5333333333333297</v>
      </c>
      <c r="Y437" s="10">
        <v>0.266666666666667</v>
      </c>
      <c r="Z437" s="10">
        <v>65.599999999999994</v>
      </c>
      <c r="AA437" s="10">
        <v>0.266666666666667</v>
      </c>
    </row>
    <row r="438" spans="1:27" s="10" customFormat="1" x14ac:dyDescent="0.25">
      <c r="A438" s="10" t="s">
        <v>35</v>
      </c>
      <c r="B438" s="10" t="s">
        <v>30</v>
      </c>
      <c r="C438" s="10" t="s">
        <v>83</v>
      </c>
      <c r="D438" s="10">
        <v>2.81492620219599</v>
      </c>
      <c r="E438" s="10">
        <v>0</v>
      </c>
      <c r="F438" s="10">
        <v>8.5345237264943599</v>
      </c>
      <c r="G438" s="10">
        <v>2.0655911179772901</v>
      </c>
      <c r="H438" s="10">
        <v>0</v>
      </c>
      <c r="I438" s="10">
        <v>0</v>
      </c>
      <c r="J438" s="10">
        <v>0</v>
      </c>
      <c r="K438" s="10">
        <v>3.3352375513311698</v>
      </c>
      <c r="L438" s="10">
        <v>0</v>
      </c>
      <c r="M438" s="10">
        <v>0</v>
      </c>
      <c r="N438" s="10">
        <v>1.03279555898864</v>
      </c>
      <c r="O438" s="10">
        <v>1.4074631010979901</v>
      </c>
      <c r="P438" s="10">
        <v>0</v>
      </c>
      <c r="Q438" s="10">
        <v>0</v>
      </c>
      <c r="R438" s="10">
        <v>2.8949874578229799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8.7982682278687001</v>
      </c>
      <c r="Y438" s="10">
        <v>1.03279555898864</v>
      </c>
      <c r="Z438" s="10">
        <v>12.8996123972777</v>
      </c>
      <c r="AA438" s="10">
        <v>1.03279555898864</v>
      </c>
    </row>
    <row r="439" spans="1:27" s="10" customFormat="1" x14ac:dyDescent="0.25">
      <c r="A439" s="10" t="s">
        <v>35</v>
      </c>
      <c r="B439" s="10" t="s">
        <v>30</v>
      </c>
      <c r="C439" s="10" t="s">
        <v>82</v>
      </c>
      <c r="D439" s="10">
        <v>0</v>
      </c>
      <c r="E439" s="10">
        <v>0</v>
      </c>
      <c r="F439" s="10">
        <v>20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4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4</v>
      </c>
      <c r="Y439" s="10">
        <v>0</v>
      </c>
      <c r="Z439" s="10">
        <v>68</v>
      </c>
      <c r="AA439" s="10">
        <v>0</v>
      </c>
    </row>
    <row r="440" spans="1:27" s="10" customFormat="1" x14ac:dyDescent="0.25">
      <c r="A440" s="10" t="s">
        <v>35</v>
      </c>
      <c r="B440" s="10" t="s">
        <v>30</v>
      </c>
      <c r="C440" s="10" t="s">
        <v>81</v>
      </c>
      <c r="D440" s="10">
        <v>0</v>
      </c>
      <c r="E440" s="10">
        <v>0</v>
      </c>
      <c r="F440" s="10">
        <v>16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56</v>
      </c>
      <c r="AA440" s="10">
        <v>0</v>
      </c>
    </row>
    <row r="441" spans="1:27" s="10" customFormat="1" x14ac:dyDescent="0.25">
      <c r="A441" s="10" t="s">
        <v>35</v>
      </c>
      <c r="B441" s="10" t="s">
        <v>30</v>
      </c>
      <c r="C441" s="10" t="s">
        <v>80</v>
      </c>
      <c r="D441" s="10">
        <v>0</v>
      </c>
      <c r="E441" s="10">
        <v>0</v>
      </c>
      <c r="F441" s="10">
        <v>20</v>
      </c>
      <c r="G441" s="10">
        <v>0</v>
      </c>
      <c r="H441" s="10">
        <v>0</v>
      </c>
      <c r="I441" s="10">
        <v>0</v>
      </c>
      <c r="J441" s="10">
        <v>0</v>
      </c>
      <c r="K441" s="10">
        <v>4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4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16</v>
      </c>
      <c r="Y441" s="10">
        <v>0</v>
      </c>
      <c r="Z441" s="10">
        <v>76</v>
      </c>
      <c r="AA441" s="10">
        <v>0</v>
      </c>
    </row>
    <row r="442" spans="1:27" x14ac:dyDescent="0.25">
      <c r="A442" s="9" t="s">
        <v>35</v>
      </c>
      <c r="B442" s="9" t="s">
        <v>31</v>
      </c>
      <c r="D442" s="9">
        <v>0</v>
      </c>
      <c r="E442" s="9">
        <v>0</v>
      </c>
      <c r="F442" s="9">
        <v>8</v>
      </c>
      <c r="G442" s="9">
        <v>0</v>
      </c>
      <c r="H442" s="9">
        <v>0</v>
      </c>
      <c r="I442" s="9">
        <v>0</v>
      </c>
      <c r="J442" s="9">
        <v>0</v>
      </c>
      <c r="K442" s="9">
        <v>4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4</v>
      </c>
      <c r="Y442" s="9">
        <v>0</v>
      </c>
      <c r="Z442" s="9">
        <v>84</v>
      </c>
      <c r="AA442" s="9">
        <v>0</v>
      </c>
    </row>
    <row r="443" spans="1:27" x14ac:dyDescent="0.25">
      <c r="A443" s="9" t="s">
        <v>35</v>
      </c>
      <c r="B443" s="9" t="s">
        <v>31</v>
      </c>
      <c r="D443" s="9">
        <v>0</v>
      </c>
      <c r="E443" s="9">
        <v>0</v>
      </c>
      <c r="F443" s="9">
        <v>52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4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4</v>
      </c>
      <c r="Y443" s="9">
        <v>4</v>
      </c>
      <c r="Z443" s="9">
        <v>36</v>
      </c>
      <c r="AA443" s="9">
        <v>0</v>
      </c>
    </row>
    <row r="444" spans="1:27" x14ac:dyDescent="0.25">
      <c r="A444" s="9" t="s">
        <v>35</v>
      </c>
      <c r="B444" s="9" t="s">
        <v>31</v>
      </c>
      <c r="D444" s="9">
        <v>0</v>
      </c>
      <c r="E444" s="9">
        <v>0</v>
      </c>
      <c r="F444" s="9">
        <v>12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8</v>
      </c>
      <c r="Y444" s="9">
        <v>0</v>
      </c>
      <c r="Z444" s="9">
        <v>80</v>
      </c>
      <c r="AA444" s="9">
        <v>0</v>
      </c>
    </row>
    <row r="445" spans="1:27" x14ac:dyDescent="0.25">
      <c r="A445" s="9" t="s">
        <v>35</v>
      </c>
      <c r="B445" s="9" t="s">
        <v>31</v>
      </c>
      <c r="D445" s="9">
        <v>0</v>
      </c>
      <c r="E445" s="9">
        <v>0</v>
      </c>
      <c r="F445" s="9">
        <v>40</v>
      </c>
      <c r="G445" s="9">
        <v>0</v>
      </c>
      <c r="H445" s="9">
        <v>0</v>
      </c>
      <c r="I445" s="9">
        <v>0</v>
      </c>
      <c r="J445" s="9">
        <v>0</v>
      </c>
      <c r="K445" s="9">
        <v>4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16</v>
      </c>
      <c r="Y445" s="9">
        <v>0</v>
      </c>
      <c r="Z445" s="9">
        <v>40</v>
      </c>
      <c r="AA445" s="9">
        <v>0</v>
      </c>
    </row>
    <row r="446" spans="1:27" x14ac:dyDescent="0.25">
      <c r="A446" s="9" t="s">
        <v>35</v>
      </c>
      <c r="B446" s="9" t="s">
        <v>31</v>
      </c>
      <c r="D446" s="9">
        <v>0</v>
      </c>
      <c r="E446" s="9">
        <v>0</v>
      </c>
      <c r="F446" s="9">
        <v>36</v>
      </c>
      <c r="G446" s="9">
        <v>0</v>
      </c>
      <c r="H446" s="9">
        <v>0</v>
      </c>
      <c r="I446" s="9">
        <v>0</v>
      </c>
      <c r="J446" s="9">
        <v>0</v>
      </c>
      <c r="K446" s="9">
        <v>16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12</v>
      </c>
      <c r="Y446" s="9">
        <v>0</v>
      </c>
      <c r="Z446" s="9">
        <v>32</v>
      </c>
      <c r="AA446" s="9">
        <v>4</v>
      </c>
    </row>
    <row r="447" spans="1:27" x14ac:dyDescent="0.25">
      <c r="A447" s="9" t="s">
        <v>35</v>
      </c>
      <c r="B447" s="9" t="s">
        <v>31</v>
      </c>
      <c r="D447" s="9">
        <v>8</v>
      </c>
      <c r="E447" s="9">
        <v>0</v>
      </c>
      <c r="F447" s="9">
        <v>16</v>
      </c>
      <c r="G447" s="9">
        <v>0</v>
      </c>
      <c r="H447" s="9">
        <v>0</v>
      </c>
      <c r="I447" s="9">
        <v>0</v>
      </c>
      <c r="J447" s="9">
        <v>0</v>
      </c>
      <c r="K447" s="9">
        <v>4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4</v>
      </c>
      <c r="Y447" s="9">
        <v>0</v>
      </c>
      <c r="Z447" s="9">
        <v>68</v>
      </c>
      <c r="AA447" s="9">
        <v>0</v>
      </c>
    </row>
    <row r="448" spans="1:27" x14ac:dyDescent="0.25">
      <c r="A448" s="9" t="s">
        <v>35</v>
      </c>
      <c r="B448" s="9" t="s">
        <v>31</v>
      </c>
      <c r="D448" s="9">
        <v>0</v>
      </c>
      <c r="E448" s="9">
        <v>0</v>
      </c>
      <c r="F448" s="9">
        <v>4</v>
      </c>
      <c r="G448" s="9">
        <v>0</v>
      </c>
      <c r="H448" s="9">
        <v>0</v>
      </c>
      <c r="I448" s="9">
        <v>0</v>
      </c>
      <c r="J448" s="9">
        <v>0</v>
      </c>
      <c r="K448" s="9">
        <v>4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40</v>
      </c>
      <c r="Y448" s="9">
        <v>0</v>
      </c>
      <c r="Z448" s="9">
        <v>48</v>
      </c>
      <c r="AA448" s="9">
        <v>4</v>
      </c>
    </row>
    <row r="449" spans="1:27" x14ac:dyDescent="0.25">
      <c r="A449" s="9" t="s">
        <v>35</v>
      </c>
      <c r="B449" s="9" t="s">
        <v>31</v>
      </c>
      <c r="D449" s="9">
        <v>0</v>
      </c>
      <c r="E449" s="9">
        <v>0</v>
      </c>
      <c r="F449" s="9">
        <v>16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16</v>
      </c>
      <c r="Y449" s="9">
        <v>0</v>
      </c>
      <c r="Z449" s="9">
        <v>68</v>
      </c>
      <c r="AA449" s="9">
        <v>0</v>
      </c>
    </row>
    <row r="450" spans="1:27" x14ac:dyDescent="0.25">
      <c r="A450" s="9" t="s">
        <v>35</v>
      </c>
      <c r="B450" s="9" t="s">
        <v>31</v>
      </c>
      <c r="D450" s="9">
        <v>0</v>
      </c>
      <c r="E450" s="9">
        <v>0</v>
      </c>
      <c r="F450" s="9">
        <v>16</v>
      </c>
      <c r="G450" s="9">
        <v>0</v>
      </c>
      <c r="H450" s="9">
        <v>0</v>
      </c>
      <c r="I450" s="9">
        <v>0</v>
      </c>
      <c r="J450" s="9">
        <v>0</v>
      </c>
      <c r="K450" s="9">
        <v>4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4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9">
        <v>8</v>
      </c>
      <c r="Y450" s="9">
        <v>0</v>
      </c>
      <c r="Z450" s="9">
        <v>68</v>
      </c>
      <c r="AA450" s="9">
        <v>0</v>
      </c>
    </row>
    <row r="451" spans="1:27" x14ac:dyDescent="0.25">
      <c r="A451" s="9" t="s">
        <v>35</v>
      </c>
      <c r="B451" s="9" t="s">
        <v>31</v>
      </c>
      <c r="D451" s="9">
        <v>0</v>
      </c>
      <c r="E451" s="9">
        <v>0</v>
      </c>
      <c r="F451" s="9">
        <v>16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8</v>
      </c>
      <c r="O451" s="9">
        <v>24</v>
      </c>
      <c r="P451" s="9">
        <v>0</v>
      </c>
      <c r="Q451" s="9">
        <v>0</v>
      </c>
      <c r="R451" s="9">
        <v>4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44</v>
      </c>
      <c r="AA451" s="9">
        <v>4</v>
      </c>
    </row>
    <row r="452" spans="1:27" x14ac:dyDescent="0.25">
      <c r="A452" s="9" t="s">
        <v>35</v>
      </c>
      <c r="B452" s="9" t="s">
        <v>31</v>
      </c>
      <c r="D452" s="9">
        <v>0</v>
      </c>
      <c r="E452" s="9">
        <v>0</v>
      </c>
      <c r="F452" s="9">
        <v>16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4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80</v>
      </c>
      <c r="AA452" s="9">
        <v>0</v>
      </c>
    </row>
    <row r="453" spans="1:27" x14ac:dyDescent="0.25">
      <c r="A453" s="9" t="s">
        <v>35</v>
      </c>
      <c r="B453" s="9" t="s">
        <v>31</v>
      </c>
      <c r="D453" s="9">
        <v>0</v>
      </c>
      <c r="E453" s="9">
        <v>0</v>
      </c>
      <c r="F453" s="9">
        <v>8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8</v>
      </c>
      <c r="X453" s="9">
        <v>0</v>
      </c>
      <c r="Y453" s="9">
        <v>4</v>
      </c>
      <c r="Z453" s="9">
        <v>80</v>
      </c>
      <c r="AA453" s="9">
        <v>0</v>
      </c>
    </row>
    <row r="454" spans="1:27" x14ac:dyDescent="0.25">
      <c r="A454" s="9" t="s">
        <v>35</v>
      </c>
      <c r="B454" s="9" t="s">
        <v>31</v>
      </c>
      <c r="D454" s="9">
        <v>0</v>
      </c>
      <c r="E454" s="9">
        <v>0</v>
      </c>
      <c r="F454" s="9">
        <v>28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4</v>
      </c>
      <c r="Z454" s="9">
        <v>64</v>
      </c>
      <c r="AA454" s="9">
        <v>4</v>
      </c>
    </row>
    <row r="455" spans="1:27" x14ac:dyDescent="0.25">
      <c r="A455" s="9" t="s">
        <v>35</v>
      </c>
      <c r="B455" s="9" t="s">
        <v>31</v>
      </c>
      <c r="D455" s="9">
        <v>0</v>
      </c>
      <c r="E455" s="9">
        <v>0</v>
      </c>
      <c r="F455" s="9">
        <v>32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8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12</v>
      </c>
      <c r="Y455" s="9">
        <v>0</v>
      </c>
      <c r="Z455" s="9">
        <v>48</v>
      </c>
      <c r="AA455" s="9">
        <v>0</v>
      </c>
    </row>
    <row r="456" spans="1:27" x14ac:dyDescent="0.25">
      <c r="A456" s="9" t="s">
        <v>35</v>
      </c>
      <c r="B456" s="9" t="s">
        <v>31</v>
      </c>
      <c r="D456" s="9">
        <v>0</v>
      </c>
      <c r="E456" s="9">
        <v>0</v>
      </c>
      <c r="F456" s="9">
        <v>24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76</v>
      </c>
      <c r="AA456" s="9">
        <v>0</v>
      </c>
    </row>
    <row r="457" spans="1:27" s="10" customFormat="1" x14ac:dyDescent="0.25">
      <c r="A457" s="10" t="s">
        <v>35</v>
      </c>
      <c r="B457" s="10" t="s">
        <v>31</v>
      </c>
      <c r="C457" s="10" t="s">
        <v>84</v>
      </c>
      <c r="D457" s="10">
        <v>0.53333333333333299</v>
      </c>
      <c r="E457" s="10">
        <v>0</v>
      </c>
      <c r="F457" s="10">
        <v>21.6</v>
      </c>
      <c r="G457" s="10">
        <v>0</v>
      </c>
      <c r="H457" s="10">
        <v>0</v>
      </c>
      <c r="I457" s="10">
        <v>0</v>
      </c>
      <c r="J457" s="10">
        <v>0</v>
      </c>
      <c r="K457" s="10">
        <v>2.4</v>
      </c>
      <c r="L457" s="10">
        <v>0</v>
      </c>
      <c r="M457" s="10">
        <v>0</v>
      </c>
      <c r="N457" s="10">
        <v>0.8</v>
      </c>
      <c r="O457" s="10">
        <v>1.6</v>
      </c>
      <c r="P457" s="10">
        <v>0</v>
      </c>
      <c r="Q457" s="10">
        <v>0</v>
      </c>
      <c r="R457" s="10">
        <v>1.3333333333333299</v>
      </c>
      <c r="S457" s="10">
        <v>0</v>
      </c>
      <c r="T457" s="10">
        <v>0</v>
      </c>
      <c r="U457" s="10">
        <v>0</v>
      </c>
      <c r="V457" s="10">
        <v>0</v>
      </c>
      <c r="W457" s="10">
        <v>0.53333333333333299</v>
      </c>
      <c r="X457" s="10">
        <v>8.2666666666666693</v>
      </c>
      <c r="Y457" s="10">
        <v>0.8</v>
      </c>
      <c r="Z457" s="10">
        <v>61.066666666666698</v>
      </c>
      <c r="AA457" s="10">
        <v>1.06666666666667</v>
      </c>
    </row>
    <row r="458" spans="1:27" s="10" customFormat="1" x14ac:dyDescent="0.25">
      <c r="A458" s="10" t="s">
        <v>35</v>
      </c>
      <c r="B458" s="10" t="s">
        <v>31</v>
      </c>
      <c r="C458" s="10" t="s">
        <v>83</v>
      </c>
      <c r="D458" s="10">
        <v>2.0655911179772901</v>
      </c>
      <c r="E458" s="10">
        <v>0</v>
      </c>
      <c r="F458" s="10">
        <v>13.5055544129073</v>
      </c>
      <c r="G458" s="10">
        <v>0</v>
      </c>
      <c r="H458" s="10">
        <v>0</v>
      </c>
      <c r="I458" s="10">
        <v>0</v>
      </c>
      <c r="J458" s="10">
        <v>0</v>
      </c>
      <c r="K458" s="10">
        <v>4.2223893032939799</v>
      </c>
      <c r="L458" s="10">
        <v>0</v>
      </c>
      <c r="M458" s="10">
        <v>0</v>
      </c>
      <c r="N458" s="10">
        <v>2.2424476423255499</v>
      </c>
      <c r="O458" s="10">
        <v>6.1967733539318699</v>
      </c>
      <c r="P458" s="10">
        <v>0</v>
      </c>
      <c r="Q458" s="10">
        <v>0</v>
      </c>
      <c r="R458" s="10">
        <v>2.4688535993934702</v>
      </c>
      <c r="S458" s="10">
        <v>0</v>
      </c>
      <c r="T458" s="10">
        <v>0</v>
      </c>
      <c r="U458" s="10">
        <v>0</v>
      </c>
      <c r="V458" s="10">
        <v>0</v>
      </c>
      <c r="W458" s="10">
        <v>2.0655911179772901</v>
      </c>
      <c r="X458" s="10">
        <v>10.525253079187801</v>
      </c>
      <c r="Y458" s="10">
        <v>1.65615734242165</v>
      </c>
      <c r="Z458" s="10">
        <v>17.982001583594101</v>
      </c>
      <c r="AA458" s="10">
        <v>1.83095083286825</v>
      </c>
    </row>
    <row r="459" spans="1:27" s="10" customFormat="1" x14ac:dyDescent="0.25">
      <c r="A459" s="10" t="s">
        <v>35</v>
      </c>
      <c r="B459" s="10" t="s">
        <v>31</v>
      </c>
      <c r="C459" s="10" t="s">
        <v>82</v>
      </c>
      <c r="D459" s="10">
        <v>0</v>
      </c>
      <c r="E459" s="10">
        <v>0</v>
      </c>
      <c r="F459" s="10">
        <v>16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4</v>
      </c>
      <c r="Y459" s="10">
        <v>0</v>
      </c>
      <c r="Z459" s="10">
        <v>68</v>
      </c>
      <c r="AA459" s="10">
        <v>0</v>
      </c>
    </row>
    <row r="460" spans="1:27" s="10" customFormat="1" x14ac:dyDescent="0.25">
      <c r="A460" s="10" t="s">
        <v>35</v>
      </c>
      <c r="B460" s="10" t="s">
        <v>31</v>
      </c>
      <c r="C460" s="10" t="s">
        <v>81</v>
      </c>
      <c r="D460" s="10">
        <v>0</v>
      </c>
      <c r="E460" s="10">
        <v>0</v>
      </c>
      <c r="F460" s="10">
        <v>14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46</v>
      </c>
      <c r="AA460" s="10">
        <v>0</v>
      </c>
    </row>
    <row r="461" spans="1:27" s="10" customFormat="1" x14ac:dyDescent="0.25">
      <c r="A461" s="10" t="s">
        <v>35</v>
      </c>
      <c r="B461" s="10" t="s">
        <v>31</v>
      </c>
      <c r="C461" s="10" t="s">
        <v>80</v>
      </c>
      <c r="D461" s="10">
        <v>0</v>
      </c>
      <c r="E461" s="10">
        <v>0</v>
      </c>
      <c r="F461" s="10">
        <v>30</v>
      </c>
      <c r="G461" s="10">
        <v>0</v>
      </c>
      <c r="H461" s="10">
        <v>0</v>
      </c>
      <c r="I461" s="10">
        <v>0</v>
      </c>
      <c r="J461" s="10">
        <v>0</v>
      </c>
      <c r="K461" s="10">
        <v>4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2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12</v>
      </c>
      <c r="Y461" s="10">
        <v>0</v>
      </c>
      <c r="Z461" s="10">
        <v>78</v>
      </c>
      <c r="AA461" s="10">
        <v>2</v>
      </c>
    </row>
    <row r="462" spans="1:27" x14ac:dyDescent="0.25">
      <c r="A462" s="9" t="s">
        <v>35</v>
      </c>
      <c r="B462" s="9" t="s">
        <v>32</v>
      </c>
      <c r="D462" s="9">
        <v>0</v>
      </c>
      <c r="E462" s="9">
        <v>0</v>
      </c>
      <c r="F462" s="9">
        <v>16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12</v>
      </c>
      <c r="X462" s="9">
        <v>4</v>
      </c>
      <c r="Y462" s="9">
        <v>0</v>
      </c>
      <c r="Z462" s="9">
        <v>68</v>
      </c>
      <c r="AA462" s="9">
        <v>0</v>
      </c>
    </row>
    <row r="463" spans="1:27" x14ac:dyDescent="0.25">
      <c r="A463" s="9" t="s">
        <v>35</v>
      </c>
      <c r="B463" s="9" t="s">
        <v>32</v>
      </c>
      <c r="D463" s="9">
        <v>0</v>
      </c>
      <c r="E463" s="9">
        <v>0</v>
      </c>
      <c r="F463" s="9">
        <v>4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4</v>
      </c>
      <c r="S463" s="9">
        <v>0</v>
      </c>
      <c r="T463" s="9">
        <v>0</v>
      </c>
      <c r="U463" s="9">
        <v>0</v>
      </c>
      <c r="V463" s="9">
        <v>0</v>
      </c>
      <c r="W463" s="9">
        <v>8</v>
      </c>
      <c r="X463" s="9">
        <v>0</v>
      </c>
      <c r="Y463" s="9">
        <v>0</v>
      </c>
      <c r="Z463" s="9">
        <v>84</v>
      </c>
      <c r="AA463" s="9">
        <v>0</v>
      </c>
    </row>
    <row r="464" spans="1:27" x14ac:dyDescent="0.25">
      <c r="A464" s="9" t="s">
        <v>35</v>
      </c>
      <c r="B464" s="9" t="s">
        <v>32</v>
      </c>
      <c r="D464" s="9">
        <v>0</v>
      </c>
      <c r="E464" s="9">
        <v>0</v>
      </c>
      <c r="F464" s="9">
        <v>44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12</v>
      </c>
      <c r="X464" s="9">
        <v>0</v>
      </c>
      <c r="Y464" s="9">
        <v>0</v>
      </c>
      <c r="Z464" s="9">
        <v>44</v>
      </c>
      <c r="AA464" s="9">
        <v>0</v>
      </c>
    </row>
    <row r="465" spans="1:27" x14ac:dyDescent="0.25">
      <c r="A465" s="9" t="s">
        <v>35</v>
      </c>
      <c r="B465" s="9" t="s">
        <v>32</v>
      </c>
      <c r="D465" s="9">
        <v>0</v>
      </c>
      <c r="E465" s="9">
        <v>0</v>
      </c>
      <c r="F465" s="9">
        <v>12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4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4</v>
      </c>
      <c r="Y465" s="9">
        <v>0</v>
      </c>
      <c r="Z465" s="9">
        <v>80</v>
      </c>
      <c r="AA465" s="9">
        <v>0</v>
      </c>
    </row>
    <row r="466" spans="1:27" x14ac:dyDescent="0.25">
      <c r="A466" s="9" t="s">
        <v>35</v>
      </c>
      <c r="B466" s="9" t="s">
        <v>32</v>
      </c>
      <c r="D466" s="9">
        <v>0</v>
      </c>
      <c r="E466" s="9">
        <v>0</v>
      </c>
      <c r="F466" s="9">
        <v>20</v>
      </c>
      <c r="G466" s="9">
        <v>0</v>
      </c>
      <c r="H466" s="9">
        <v>0</v>
      </c>
      <c r="I466" s="9">
        <v>0</v>
      </c>
      <c r="J466" s="9">
        <v>0</v>
      </c>
      <c r="K466" s="9">
        <v>4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4</v>
      </c>
      <c r="S466" s="9">
        <v>0</v>
      </c>
      <c r="T466" s="9">
        <v>8</v>
      </c>
      <c r="U466" s="9">
        <v>0</v>
      </c>
      <c r="V466" s="9">
        <v>0</v>
      </c>
      <c r="W466" s="9">
        <v>0</v>
      </c>
      <c r="X466" s="9">
        <v>4</v>
      </c>
      <c r="Y466" s="9">
        <v>4</v>
      </c>
      <c r="Z466" s="9">
        <v>52</v>
      </c>
      <c r="AA466" s="9">
        <v>4</v>
      </c>
    </row>
    <row r="467" spans="1:27" x14ac:dyDescent="0.25">
      <c r="A467" s="9" t="s">
        <v>35</v>
      </c>
      <c r="B467" s="9" t="s">
        <v>32</v>
      </c>
      <c r="D467" s="9">
        <v>0</v>
      </c>
      <c r="E467" s="9">
        <v>0</v>
      </c>
      <c r="F467" s="9">
        <v>24</v>
      </c>
      <c r="G467" s="9">
        <v>0</v>
      </c>
      <c r="H467" s="9">
        <v>0</v>
      </c>
      <c r="I467" s="9">
        <v>0</v>
      </c>
      <c r="J467" s="9">
        <v>0</v>
      </c>
      <c r="K467" s="9">
        <v>4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44</v>
      </c>
      <c r="Y467" s="9">
        <v>0</v>
      </c>
      <c r="Z467" s="9">
        <v>24</v>
      </c>
      <c r="AA467" s="9">
        <v>4</v>
      </c>
    </row>
    <row r="468" spans="1:27" x14ac:dyDescent="0.25">
      <c r="A468" s="9" t="s">
        <v>35</v>
      </c>
      <c r="B468" s="9" t="s">
        <v>32</v>
      </c>
      <c r="D468" s="9">
        <v>0</v>
      </c>
      <c r="E468" s="9">
        <v>0</v>
      </c>
      <c r="F468" s="9">
        <v>16</v>
      </c>
      <c r="G468" s="9">
        <v>0</v>
      </c>
      <c r="H468" s="9">
        <v>0</v>
      </c>
      <c r="I468" s="9">
        <v>0</v>
      </c>
      <c r="J468" s="9">
        <v>0</v>
      </c>
      <c r="K468" s="9">
        <v>4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24</v>
      </c>
      <c r="Y468" s="9">
        <v>0</v>
      </c>
      <c r="Z468" s="9">
        <v>56</v>
      </c>
      <c r="AA468" s="9">
        <v>0</v>
      </c>
    </row>
    <row r="469" spans="1:27" x14ac:dyDescent="0.25">
      <c r="A469" s="9" t="s">
        <v>35</v>
      </c>
      <c r="B469" s="9" t="s">
        <v>32</v>
      </c>
      <c r="D469" s="9">
        <v>0</v>
      </c>
      <c r="E469" s="9">
        <v>0</v>
      </c>
      <c r="F469" s="9">
        <v>16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4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80</v>
      </c>
      <c r="AA469" s="9">
        <v>0</v>
      </c>
    </row>
    <row r="470" spans="1:27" x14ac:dyDescent="0.25">
      <c r="A470" s="9" t="s">
        <v>35</v>
      </c>
      <c r="B470" s="9" t="s">
        <v>32</v>
      </c>
      <c r="D470" s="9">
        <v>0</v>
      </c>
      <c r="E470" s="9">
        <v>0</v>
      </c>
      <c r="F470" s="9">
        <v>28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16</v>
      </c>
      <c r="Y470" s="9">
        <v>0</v>
      </c>
      <c r="Z470" s="9">
        <v>56</v>
      </c>
      <c r="AA470" s="9">
        <v>0</v>
      </c>
    </row>
    <row r="471" spans="1:27" x14ac:dyDescent="0.25">
      <c r="A471" s="9" t="s">
        <v>35</v>
      </c>
      <c r="B471" s="9" t="s">
        <v>32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16</v>
      </c>
      <c r="X471" s="9">
        <v>0</v>
      </c>
      <c r="Y471" s="9">
        <v>0</v>
      </c>
      <c r="Z471" s="9">
        <v>84</v>
      </c>
      <c r="AA471" s="9">
        <v>0</v>
      </c>
    </row>
    <row r="472" spans="1:27" x14ac:dyDescent="0.25">
      <c r="A472" s="9" t="s">
        <v>35</v>
      </c>
      <c r="B472" s="9" t="s">
        <v>32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8</v>
      </c>
      <c r="X472" s="9">
        <v>0</v>
      </c>
      <c r="Y472" s="9">
        <v>0</v>
      </c>
      <c r="Z472" s="9">
        <v>84</v>
      </c>
      <c r="AA472" s="9">
        <v>8</v>
      </c>
    </row>
    <row r="473" spans="1:27" x14ac:dyDescent="0.25">
      <c r="A473" s="9" t="s">
        <v>35</v>
      </c>
      <c r="B473" s="9" t="s">
        <v>32</v>
      </c>
      <c r="D473" s="9">
        <v>0</v>
      </c>
      <c r="E473" s="9">
        <v>0</v>
      </c>
      <c r="F473" s="9">
        <v>12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8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8</v>
      </c>
      <c r="Y473" s="9">
        <v>0</v>
      </c>
      <c r="Z473" s="9">
        <v>72</v>
      </c>
      <c r="AA473" s="9">
        <v>0</v>
      </c>
    </row>
    <row r="474" spans="1:27" x14ac:dyDescent="0.25">
      <c r="A474" s="9" t="s">
        <v>35</v>
      </c>
      <c r="B474" s="9" t="s">
        <v>32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8</v>
      </c>
      <c r="Y474" s="9">
        <v>0</v>
      </c>
      <c r="Z474" s="9">
        <v>92</v>
      </c>
      <c r="AA474" s="9">
        <v>0</v>
      </c>
    </row>
    <row r="475" spans="1:27" x14ac:dyDescent="0.25">
      <c r="A475" s="9" t="s">
        <v>35</v>
      </c>
      <c r="B475" s="9" t="s">
        <v>32</v>
      </c>
      <c r="D475" s="9">
        <v>0</v>
      </c>
      <c r="E475" s="9">
        <v>0</v>
      </c>
      <c r="F475" s="9">
        <v>20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4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4</v>
      </c>
      <c r="Y475" s="9">
        <v>0</v>
      </c>
      <c r="Z475" s="9">
        <v>64</v>
      </c>
      <c r="AA475" s="9">
        <v>8</v>
      </c>
    </row>
    <row r="476" spans="1:27" x14ac:dyDescent="0.25">
      <c r="A476" s="9" t="s">
        <v>35</v>
      </c>
      <c r="B476" s="9" t="s">
        <v>32</v>
      </c>
      <c r="D476" s="9">
        <v>0</v>
      </c>
      <c r="E476" s="9">
        <v>0</v>
      </c>
      <c r="F476" s="9">
        <v>16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12</v>
      </c>
      <c r="Y476" s="9">
        <v>0</v>
      </c>
      <c r="Z476" s="9">
        <v>72</v>
      </c>
      <c r="AA476" s="9">
        <v>0</v>
      </c>
    </row>
    <row r="477" spans="1:27" s="10" customFormat="1" x14ac:dyDescent="0.25">
      <c r="A477" s="10" t="s">
        <v>35</v>
      </c>
      <c r="B477" s="10" t="s">
        <v>32</v>
      </c>
      <c r="C477" s="10" t="s">
        <v>84</v>
      </c>
      <c r="D477" s="10">
        <v>0</v>
      </c>
      <c r="E477" s="10">
        <v>0</v>
      </c>
      <c r="F477" s="10">
        <v>15.2</v>
      </c>
      <c r="G477" s="10">
        <v>0</v>
      </c>
      <c r="H477" s="10">
        <v>0</v>
      </c>
      <c r="I477" s="10">
        <v>0</v>
      </c>
      <c r="J477" s="10">
        <v>0</v>
      </c>
      <c r="K477" s="10">
        <v>0.8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1.86666666666667</v>
      </c>
      <c r="S477" s="10">
        <v>0</v>
      </c>
      <c r="T477" s="10">
        <v>0.53333333333333299</v>
      </c>
      <c r="U477" s="10">
        <v>0</v>
      </c>
      <c r="V477" s="10">
        <v>0</v>
      </c>
      <c r="W477" s="10">
        <v>3.7333333333333298</v>
      </c>
      <c r="X477" s="10">
        <v>8.5333333333333297</v>
      </c>
      <c r="Y477" s="10">
        <v>0.266666666666667</v>
      </c>
      <c r="Z477" s="10">
        <v>67.466666666666697</v>
      </c>
      <c r="AA477" s="10">
        <v>1.6</v>
      </c>
    </row>
    <row r="478" spans="1:27" s="10" customFormat="1" x14ac:dyDescent="0.25">
      <c r="A478" s="10" t="s">
        <v>35</v>
      </c>
      <c r="B478" s="10" t="s">
        <v>32</v>
      </c>
      <c r="C478" s="10" t="s">
        <v>83</v>
      </c>
      <c r="D478" s="10">
        <v>0</v>
      </c>
      <c r="E478" s="10">
        <v>0</v>
      </c>
      <c r="F478" s="10">
        <v>11.8273291273099</v>
      </c>
      <c r="G478" s="10">
        <v>0</v>
      </c>
      <c r="H478" s="10">
        <v>0</v>
      </c>
      <c r="I478" s="10">
        <v>0</v>
      </c>
      <c r="J478" s="10">
        <v>0</v>
      </c>
      <c r="K478" s="10">
        <v>1.65615734242165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2.5597618936887399</v>
      </c>
      <c r="S478" s="10">
        <v>0</v>
      </c>
      <c r="T478" s="10">
        <v>2.0655911179772901</v>
      </c>
      <c r="U478" s="10">
        <v>0</v>
      </c>
      <c r="V478" s="10">
        <v>0</v>
      </c>
      <c r="W478" s="10">
        <v>5.7503623074260899</v>
      </c>
      <c r="X478" s="10">
        <v>11.9872948614455</v>
      </c>
      <c r="Y478" s="10">
        <v>1.03279555898864</v>
      </c>
      <c r="Z478" s="10">
        <v>18.384258276605902</v>
      </c>
      <c r="AA478" s="10">
        <v>2.9471535904520301</v>
      </c>
    </row>
    <row r="479" spans="1:27" s="10" customFormat="1" x14ac:dyDescent="0.25">
      <c r="A479" s="10" t="s">
        <v>35</v>
      </c>
      <c r="B479" s="10" t="s">
        <v>32</v>
      </c>
      <c r="C479" s="10" t="s">
        <v>82</v>
      </c>
      <c r="D479" s="10">
        <v>0</v>
      </c>
      <c r="E479" s="10">
        <v>0</v>
      </c>
      <c r="F479" s="10">
        <v>16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4</v>
      </c>
      <c r="Y479" s="10">
        <v>0</v>
      </c>
      <c r="Z479" s="10">
        <v>72</v>
      </c>
      <c r="AA479" s="10">
        <v>0</v>
      </c>
    </row>
    <row r="480" spans="1:27" s="10" customFormat="1" x14ac:dyDescent="0.25">
      <c r="A480" s="10" t="s">
        <v>35</v>
      </c>
      <c r="B480" s="10" t="s">
        <v>32</v>
      </c>
      <c r="C480" s="10" t="s">
        <v>81</v>
      </c>
      <c r="D480" s="10">
        <v>0</v>
      </c>
      <c r="E480" s="10">
        <v>0</v>
      </c>
      <c r="F480" s="10">
        <v>8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56</v>
      </c>
      <c r="AA480" s="10">
        <v>0</v>
      </c>
    </row>
    <row r="481" spans="1:27" s="10" customFormat="1" x14ac:dyDescent="0.25">
      <c r="A481" s="10" t="s">
        <v>35</v>
      </c>
      <c r="B481" s="10" t="s">
        <v>32</v>
      </c>
      <c r="C481" s="10" t="s">
        <v>80</v>
      </c>
      <c r="D481" s="10">
        <v>0</v>
      </c>
      <c r="E481" s="10">
        <v>0</v>
      </c>
      <c r="F481" s="10">
        <v>20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4</v>
      </c>
      <c r="S481" s="10">
        <v>0</v>
      </c>
      <c r="T481" s="10">
        <v>0</v>
      </c>
      <c r="U481" s="10">
        <v>0</v>
      </c>
      <c r="V481" s="10">
        <v>0</v>
      </c>
      <c r="W481" s="10">
        <v>8</v>
      </c>
      <c r="X481" s="10">
        <v>10</v>
      </c>
      <c r="Y481" s="10">
        <v>0</v>
      </c>
      <c r="Z481" s="10">
        <v>82</v>
      </c>
      <c r="AA481" s="10">
        <v>2</v>
      </c>
    </row>
    <row r="482" spans="1:27" x14ac:dyDescent="0.25">
      <c r="A482" s="9" t="s">
        <v>36</v>
      </c>
      <c r="B482" s="9" t="s">
        <v>27</v>
      </c>
      <c r="D482" s="9">
        <v>0</v>
      </c>
      <c r="E482" s="9">
        <v>0</v>
      </c>
      <c r="F482" s="9">
        <v>12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8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32</v>
      </c>
      <c r="Y482" s="9">
        <v>12</v>
      </c>
      <c r="Z482" s="9">
        <v>28</v>
      </c>
      <c r="AA482" s="9">
        <v>8</v>
      </c>
    </row>
    <row r="483" spans="1:27" x14ac:dyDescent="0.25">
      <c r="A483" s="9" t="s">
        <v>36</v>
      </c>
      <c r="B483" s="9" t="s">
        <v>27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4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8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32</v>
      </c>
      <c r="Y483" s="9">
        <v>0</v>
      </c>
      <c r="Z483" s="9">
        <v>56</v>
      </c>
      <c r="AA483" s="9">
        <v>0</v>
      </c>
    </row>
    <row r="484" spans="1:27" x14ac:dyDescent="0.25">
      <c r="A484" s="9" t="s">
        <v>36</v>
      </c>
      <c r="B484" s="9" t="s">
        <v>27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4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40</v>
      </c>
      <c r="Y484" s="9">
        <v>12</v>
      </c>
      <c r="Z484" s="9">
        <v>36</v>
      </c>
      <c r="AA484" s="9">
        <v>8</v>
      </c>
    </row>
    <row r="485" spans="1:27" x14ac:dyDescent="0.25">
      <c r="A485" s="9" t="s">
        <v>36</v>
      </c>
      <c r="B485" s="9" t="s">
        <v>27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4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20</v>
      </c>
      <c r="Y485" s="9">
        <v>8</v>
      </c>
      <c r="Z485" s="9">
        <v>64</v>
      </c>
      <c r="AA485" s="9">
        <v>4</v>
      </c>
    </row>
    <row r="486" spans="1:27" x14ac:dyDescent="0.25">
      <c r="A486" s="9" t="s">
        <v>36</v>
      </c>
      <c r="B486" s="9" t="s">
        <v>27</v>
      </c>
      <c r="D486" s="9">
        <v>0</v>
      </c>
      <c r="E486" s="9">
        <v>0</v>
      </c>
      <c r="F486" s="9">
        <v>0</v>
      </c>
      <c r="G486" s="9">
        <v>12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72</v>
      </c>
      <c r="Y486" s="9">
        <v>0</v>
      </c>
      <c r="Z486" s="9">
        <v>16</v>
      </c>
      <c r="AA486" s="9">
        <v>0</v>
      </c>
    </row>
    <row r="487" spans="1:27" x14ac:dyDescent="0.25">
      <c r="A487" s="9" t="s">
        <v>36</v>
      </c>
      <c r="B487" s="9" t="s">
        <v>27</v>
      </c>
      <c r="D487" s="9">
        <v>0</v>
      </c>
      <c r="E487" s="9">
        <v>0</v>
      </c>
      <c r="F487" s="9">
        <v>8</v>
      </c>
      <c r="G487" s="9">
        <v>0</v>
      </c>
      <c r="H487" s="9">
        <v>0</v>
      </c>
      <c r="I487" s="9">
        <v>0</v>
      </c>
      <c r="J487" s="9">
        <v>0</v>
      </c>
      <c r="K487" s="9">
        <v>8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24</v>
      </c>
      <c r="Y487" s="9">
        <v>0</v>
      </c>
      <c r="Z487" s="9">
        <v>60</v>
      </c>
      <c r="AA487" s="9">
        <v>0</v>
      </c>
    </row>
    <row r="488" spans="1:27" x14ac:dyDescent="0.25">
      <c r="A488" s="9" t="s">
        <v>36</v>
      </c>
      <c r="B488" s="9" t="s">
        <v>27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9">
        <v>4</v>
      </c>
      <c r="Y488" s="9">
        <v>0</v>
      </c>
      <c r="Z488" s="9">
        <v>92</v>
      </c>
      <c r="AA488" s="9">
        <v>4</v>
      </c>
    </row>
    <row r="489" spans="1:27" x14ac:dyDescent="0.25">
      <c r="A489" s="9" t="s">
        <v>36</v>
      </c>
      <c r="B489" s="9" t="s">
        <v>27</v>
      </c>
      <c r="D489" s="9">
        <v>0</v>
      </c>
      <c r="E489" s="9">
        <v>0</v>
      </c>
      <c r="F489" s="9">
        <v>20</v>
      </c>
      <c r="G489" s="9">
        <v>0</v>
      </c>
      <c r="H489" s="9">
        <v>0</v>
      </c>
      <c r="I489" s="9">
        <v>0</v>
      </c>
      <c r="J489" s="9">
        <v>4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8</v>
      </c>
      <c r="Y489" s="9">
        <v>0</v>
      </c>
      <c r="Z489" s="9">
        <v>68</v>
      </c>
      <c r="AA489" s="9">
        <v>0</v>
      </c>
    </row>
    <row r="490" spans="1:27" x14ac:dyDescent="0.25">
      <c r="A490" s="9" t="s">
        <v>36</v>
      </c>
      <c r="B490" s="9" t="s">
        <v>27</v>
      </c>
      <c r="D490" s="9">
        <v>0</v>
      </c>
      <c r="E490" s="9">
        <v>0</v>
      </c>
      <c r="F490" s="9">
        <v>20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4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76</v>
      </c>
      <c r="AA490" s="9">
        <v>0</v>
      </c>
    </row>
    <row r="491" spans="1:27" x14ac:dyDescent="0.25">
      <c r="A491" s="9" t="s">
        <v>36</v>
      </c>
      <c r="B491" s="9" t="s">
        <v>27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4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8</v>
      </c>
      <c r="Y491" s="9">
        <v>0</v>
      </c>
      <c r="Z491" s="9">
        <v>88</v>
      </c>
      <c r="AA491" s="9">
        <v>0</v>
      </c>
    </row>
    <row r="492" spans="1:27" x14ac:dyDescent="0.25">
      <c r="A492" s="9" t="s">
        <v>36</v>
      </c>
      <c r="B492" s="9" t="s">
        <v>27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12</v>
      </c>
      <c r="Y492" s="9">
        <v>0</v>
      </c>
      <c r="Z492" s="9">
        <v>88</v>
      </c>
      <c r="AA492" s="9">
        <v>0</v>
      </c>
    </row>
    <row r="493" spans="1:27" x14ac:dyDescent="0.25">
      <c r="A493" s="9" t="s">
        <v>36</v>
      </c>
      <c r="B493" s="9" t="s">
        <v>27</v>
      </c>
      <c r="D493" s="9">
        <v>0</v>
      </c>
      <c r="E493" s="9">
        <v>0</v>
      </c>
      <c r="F493" s="9">
        <v>28</v>
      </c>
      <c r="G493" s="9">
        <v>0</v>
      </c>
      <c r="H493" s="9">
        <v>0</v>
      </c>
      <c r="I493" s="9">
        <v>0</v>
      </c>
      <c r="J493" s="9">
        <v>0</v>
      </c>
      <c r="K493" s="9">
        <v>4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28</v>
      </c>
      <c r="Y493" s="9">
        <v>0</v>
      </c>
      <c r="Z493" s="9">
        <v>40</v>
      </c>
      <c r="AA493" s="9">
        <v>0</v>
      </c>
    </row>
    <row r="494" spans="1:27" x14ac:dyDescent="0.25">
      <c r="A494" s="9" t="s">
        <v>36</v>
      </c>
      <c r="B494" s="9" t="s">
        <v>27</v>
      </c>
      <c r="D494" s="9">
        <v>0</v>
      </c>
      <c r="E494" s="9">
        <v>0</v>
      </c>
      <c r="F494" s="9">
        <v>36</v>
      </c>
      <c r="G494" s="9">
        <v>0</v>
      </c>
      <c r="H494" s="9">
        <v>0</v>
      </c>
      <c r="I494" s="9">
        <v>0</v>
      </c>
      <c r="J494" s="9">
        <v>0</v>
      </c>
      <c r="K494" s="9">
        <v>4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4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20</v>
      </c>
      <c r="Y494" s="9">
        <v>8</v>
      </c>
      <c r="Z494" s="9">
        <v>28</v>
      </c>
      <c r="AA494" s="9">
        <v>0</v>
      </c>
    </row>
    <row r="495" spans="1:27" x14ac:dyDescent="0.25">
      <c r="A495" s="9" t="s">
        <v>36</v>
      </c>
      <c r="B495" s="9" t="s">
        <v>27</v>
      </c>
      <c r="D495" s="9">
        <v>20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4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4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40</v>
      </c>
      <c r="Y495" s="9">
        <v>16</v>
      </c>
      <c r="Z495" s="9">
        <v>12</v>
      </c>
      <c r="AA495" s="9">
        <v>4</v>
      </c>
    </row>
    <row r="496" spans="1:27" x14ac:dyDescent="0.25">
      <c r="A496" s="9" t="s">
        <v>36</v>
      </c>
      <c r="B496" s="9" t="s">
        <v>27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4</v>
      </c>
      <c r="Y496" s="9">
        <v>4</v>
      </c>
      <c r="Z496" s="9">
        <v>88</v>
      </c>
      <c r="AA496" s="9">
        <v>4</v>
      </c>
    </row>
    <row r="497" spans="1:27" s="10" customFormat="1" x14ac:dyDescent="0.25">
      <c r="A497" s="10" t="s">
        <v>36</v>
      </c>
      <c r="B497" s="10" t="s">
        <v>27</v>
      </c>
      <c r="C497" s="10" t="s">
        <v>84</v>
      </c>
      <c r="D497" s="10">
        <v>1.3333333333333299</v>
      </c>
      <c r="E497" s="10">
        <v>0</v>
      </c>
      <c r="F497" s="10">
        <v>8.2666666666666693</v>
      </c>
      <c r="G497" s="10">
        <v>0.8</v>
      </c>
      <c r="H497" s="10">
        <v>0</v>
      </c>
      <c r="I497" s="10">
        <v>0</v>
      </c>
      <c r="J497" s="10">
        <v>0.53333333333333299</v>
      </c>
      <c r="K497" s="10">
        <v>1.6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2.4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22.933333333333302</v>
      </c>
      <c r="Y497" s="10">
        <v>4</v>
      </c>
      <c r="Z497" s="10">
        <v>56</v>
      </c>
      <c r="AA497" s="10">
        <v>2.1333333333333302</v>
      </c>
    </row>
    <row r="498" spans="1:27" s="10" customFormat="1" x14ac:dyDescent="0.25">
      <c r="A498" s="10" t="s">
        <v>36</v>
      </c>
      <c r="B498" s="10" t="s">
        <v>27</v>
      </c>
      <c r="C498" s="10" t="s">
        <v>83</v>
      </c>
      <c r="D498" s="10">
        <v>5.1639777949432197</v>
      </c>
      <c r="E498" s="10">
        <v>0</v>
      </c>
      <c r="F498" s="10">
        <v>12.1388789001448</v>
      </c>
      <c r="G498" s="10">
        <v>3.0983866769659301</v>
      </c>
      <c r="H498" s="10">
        <v>0</v>
      </c>
      <c r="I498" s="10">
        <v>0</v>
      </c>
      <c r="J498" s="10">
        <v>1.4074631010979901</v>
      </c>
      <c r="K498" s="10">
        <v>2.5298221281347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2.9471535904520301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18.911321879712599</v>
      </c>
      <c r="Y498" s="10">
        <v>5.6568542494923797</v>
      </c>
      <c r="Z498" s="10">
        <v>27.712812921102</v>
      </c>
      <c r="AA498" s="10">
        <v>2.9728934118288302</v>
      </c>
    </row>
    <row r="499" spans="1:27" s="10" customFormat="1" x14ac:dyDescent="0.25">
      <c r="A499" s="10" t="s">
        <v>36</v>
      </c>
      <c r="B499" s="10" t="s">
        <v>27</v>
      </c>
      <c r="C499" s="10" t="s">
        <v>82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20</v>
      </c>
      <c r="Y499" s="10">
        <v>0</v>
      </c>
      <c r="Z499" s="10">
        <v>60</v>
      </c>
      <c r="AA499" s="10">
        <v>0</v>
      </c>
    </row>
    <row r="500" spans="1:27" s="10" customFormat="1" x14ac:dyDescent="0.25">
      <c r="A500" s="10" t="s">
        <v>36</v>
      </c>
      <c r="B500" s="10" t="s">
        <v>27</v>
      </c>
      <c r="C500" s="10" t="s">
        <v>81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8</v>
      </c>
      <c r="Y500" s="10">
        <v>0</v>
      </c>
      <c r="Z500" s="10">
        <v>32</v>
      </c>
      <c r="AA500" s="10">
        <v>0</v>
      </c>
    </row>
    <row r="501" spans="1:27" s="10" customFormat="1" x14ac:dyDescent="0.25">
      <c r="A501" s="10" t="s">
        <v>36</v>
      </c>
      <c r="B501" s="10" t="s">
        <v>27</v>
      </c>
      <c r="C501" s="10" t="s">
        <v>80</v>
      </c>
      <c r="D501" s="10">
        <v>0</v>
      </c>
      <c r="E501" s="10">
        <v>0</v>
      </c>
      <c r="F501" s="10">
        <v>16</v>
      </c>
      <c r="G501" s="10">
        <v>0</v>
      </c>
      <c r="H501" s="10">
        <v>0</v>
      </c>
      <c r="I501" s="10">
        <v>0</v>
      </c>
      <c r="J501" s="10">
        <v>0</v>
      </c>
      <c r="K501" s="10">
        <v>4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4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32</v>
      </c>
      <c r="Y501" s="10">
        <v>8</v>
      </c>
      <c r="Z501" s="10">
        <v>82</v>
      </c>
      <c r="AA501" s="10">
        <v>4</v>
      </c>
    </row>
    <row r="502" spans="1:27" x14ac:dyDescent="0.25">
      <c r="A502" s="9" t="s">
        <v>36</v>
      </c>
      <c r="B502" s="9" t="s">
        <v>28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4</v>
      </c>
      <c r="S502" s="9">
        <v>0</v>
      </c>
      <c r="T502" s="9">
        <v>0</v>
      </c>
      <c r="U502" s="9">
        <v>4</v>
      </c>
      <c r="V502" s="9">
        <v>0</v>
      </c>
      <c r="W502" s="9">
        <v>0</v>
      </c>
      <c r="X502" s="9">
        <v>8</v>
      </c>
      <c r="Y502" s="9">
        <v>0</v>
      </c>
      <c r="Z502" s="9">
        <v>84</v>
      </c>
      <c r="AA502" s="9">
        <v>0</v>
      </c>
    </row>
    <row r="503" spans="1:27" x14ac:dyDescent="0.25">
      <c r="A503" s="9" t="s">
        <v>36</v>
      </c>
      <c r="B503" s="9" t="s">
        <v>28</v>
      </c>
      <c r="D503" s="9">
        <v>0</v>
      </c>
      <c r="E503" s="9">
        <v>0</v>
      </c>
      <c r="F503" s="9">
        <v>8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4</v>
      </c>
      <c r="V503" s="9">
        <v>0</v>
      </c>
      <c r="W503" s="9">
        <v>0</v>
      </c>
      <c r="X503" s="9">
        <v>20</v>
      </c>
      <c r="Y503" s="9">
        <v>4</v>
      </c>
      <c r="Z503" s="9">
        <v>60</v>
      </c>
      <c r="AA503" s="9">
        <v>4</v>
      </c>
    </row>
    <row r="504" spans="1:27" x14ac:dyDescent="0.25">
      <c r="A504" s="9" t="s">
        <v>36</v>
      </c>
      <c r="B504" s="9" t="s">
        <v>28</v>
      </c>
      <c r="D504" s="9">
        <v>0</v>
      </c>
      <c r="E504" s="9">
        <v>0</v>
      </c>
      <c r="F504" s="9">
        <v>12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12</v>
      </c>
      <c r="Y504" s="9">
        <v>8</v>
      </c>
      <c r="Z504" s="9">
        <v>68</v>
      </c>
      <c r="AA504" s="9">
        <v>0</v>
      </c>
    </row>
    <row r="505" spans="1:27" x14ac:dyDescent="0.25">
      <c r="A505" s="9" t="s">
        <v>36</v>
      </c>
      <c r="B505" s="9" t="s">
        <v>28</v>
      </c>
      <c r="D505" s="9">
        <v>0</v>
      </c>
      <c r="E505" s="9">
        <v>0</v>
      </c>
      <c r="F505" s="9">
        <v>4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8</v>
      </c>
      <c r="P505" s="9">
        <v>0</v>
      </c>
      <c r="Q505" s="9">
        <v>0</v>
      </c>
      <c r="R505" s="9">
        <v>4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16</v>
      </c>
      <c r="Y505" s="9">
        <v>8</v>
      </c>
      <c r="Z505" s="9">
        <v>60</v>
      </c>
      <c r="AA505" s="9">
        <v>0</v>
      </c>
    </row>
    <row r="506" spans="1:27" x14ac:dyDescent="0.25">
      <c r="A506" s="9" t="s">
        <v>36</v>
      </c>
      <c r="B506" s="9" t="s">
        <v>28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4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4</v>
      </c>
      <c r="Y506" s="9">
        <v>8</v>
      </c>
      <c r="Z506" s="9">
        <v>84</v>
      </c>
      <c r="AA506" s="9">
        <v>0</v>
      </c>
    </row>
    <row r="507" spans="1:27" x14ac:dyDescent="0.25">
      <c r="A507" s="9" t="s">
        <v>36</v>
      </c>
      <c r="B507" s="9" t="s">
        <v>28</v>
      </c>
      <c r="D507" s="9">
        <v>0</v>
      </c>
      <c r="E507" s="9">
        <v>0</v>
      </c>
      <c r="F507" s="9">
        <v>12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4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24</v>
      </c>
      <c r="Y507" s="9">
        <v>4</v>
      </c>
      <c r="Z507" s="9">
        <v>52</v>
      </c>
      <c r="AA507" s="9">
        <v>4</v>
      </c>
    </row>
    <row r="508" spans="1:27" x14ac:dyDescent="0.25">
      <c r="A508" s="9" t="s">
        <v>36</v>
      </c>
      <c r="B508" s="9" t="s">
        <v>28</v>
      </c>
      <c r="D508" s="9">
        <v>0</v>
      </c>
      <c r="E508" s="9">
        <v>0</v>
      </c>
      <c r="F508" s="9">
        <v>20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16</v>
      </c>
      <c r="Y508" s="9">
        <v>0</v>
      </c>
      <c r="Z508" s="9">
        <v>64</v>
      </c>
      <c r="AA508" s="9">
        <v>0</v>
      </c>
    </row>
    <row r="509" spans="1:27" x14ac:dyDescent="0.25">
      <c r="A509" s="9" t="s">
        <v>36</v>
      </c>
      <c r="B509" s="9" t="s">
        <v>28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8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24</v>
      </c>
      <c r="Y509" s="9">
        <v>12</v>
      </c>
      <c r="Z509" s="9">
        <v>56</v>
      </c>
      <c r="AA509" s="9">
        <v>0</v>
      </c>
    </row>
    <row r="510" spans="1:27" x14ac:dyDescent="0.25">
      <c r="A510" s="9" t="s">
        <v>36</v>
      </c>
      <c r="B510" s="9" t="s">
        <v>28</v>
      </c>
      <c r="D510" s="9">
        <v>0</v>
      </c>
      <c r="E510" s="9">
        <v>0</v>
      </c>
      <c r="F510" s="9">
        <v>16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40</v>
      </c>
      <c r="Y510" s="9">
        <v>0</v>
      </c>
      <c r="Z510" s="9">
        <v>44</v>
      </c>
      <c r="AA510" s="9">
        <v>0</v>
      </c>
    </row>
    <row r="511" spans="1:27" x14ac:dyDescent="0.25">
      <c r="A511" s="9" t="s">
        <v>36</v>
      </c>
      <c r="B511" s="9" t="s">
        <v>28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20</v>
      </c>
      <c r="Y511" s="9">
        <v>0</v>
      </c>
      <c r="Z511" s="9">
        <v>80</v>
      </c>
      <c r="AA511" s="9">
        <v>0</v>
      </c>
    </row>
    <row r="512" spans="1:27" x14ac:dyDescent="0.25">
      <c r="A512" s="9" t="s">
        <v>36</v>
      </c>
      <c r="B512" s="9" t="s">
        <v>28</v>
      </c>
      <c r="D512" s="9">
        <v>0</v>
      </c>
      <c r="E512" s="9">
        <v>0</v>
      </c>
      <c r="F512" s="9">
        <v>28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4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32</v>
      </c>
      <c r="Y512" s="9">
        <v>8</v>
      </c>
      <c r="Z512" s="9">
        <v>28</v>
      </c>
      <c r="AA512" s="9">
        <v>0</v>
      </c>
    </row>
    <row r="513" spans="1:27" x14ac:dyDescent="0.25">
      <c r="A513" s="9" t="s">
        <v>36</v>
      </c>
      <c r="B513" s="9" t="s">
        <v>28</v>
      </c>
      <c r="D513" s="9">
        <v>0</v>
      </c>
      <c r="E513" s="9">
        <v>0</v>
      </c>
      <c r="F513" s="9">
        <v>8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8</v>
      </c>
      <c r="S513" s="9">
        <v>0</v>
      </c>
      <c r="T513" s="9">
        <v>4</v>
      </c>
      <c r="U513" s="9">
        <v>0</v>
      </c>
      <c r="V513" s="9">
        <v>0</v>
      </c>
      <c r="W513" s="9">
        <v>0</v>
      </c>
      <c r="X513" s="9">
        <v>20</v>
      </c>
      <c r="Y513" s="9">
        <v>4</v>
      </c>
      <c r="Z513" s="9">
        <v>56</v>
      </c>
      <c r="AA513" s="9">
        <v>0</v>
      </c>
    </row>
    <row r="514" spans="1:27" x14ac:dyDescent="0.25">
      <c r="A514" s="9" t="s">
        <v>36</v>
      </c>
      <c r="B514" s="9" t="s">
        <v>28</v>
      </c>
      <c r="D514" s="9">
        <v>0</v>
      </c>
      <c r="E514" s="9">
        <v>0</v>
      </c>
      <c r="F514" s="9">
        <v>28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28</v>
      </c>
      <c r="Y514" s="9">
        <v>4</v>
      </c>
      <c r="Z514" s="9">
        <v>40</v>
      </c>
      <c r="AA514" s="9">
        <v>0</v>
      </c>
    </row>
    <row r="515" spans="1:27" x14ac:dyDescent="0.25">
      <c r="A515" s="9" t="s">
        <v>36</v>
      </c>
      <c r="B515" s="9" t="s">
        <v>28</v>
      </c>
      <c r="D515" s="9">
        <v>0</v>
      </c>
      <c r="E515" s="9">
        <v>0</v>
      </c>
      <c r="F515" s="9">
        <v>8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44</v>
      </c>
      <c r="Y515" s="9">
        <v>0</v>
      </c>
      <c r="Z515" s="9">
        <v>48</v>
      </c>
      <c r="AA515" s="9">
        <v>0</v>
      </c>
    </row>
    <row r="516" spans="1:27" x14ac:dyDescent="0.25">
      <c r="A516" s="9" t="s">
        <v>36</v>
      </c>
      <c r="B516" s="9" t="s">
        <v>28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8</v>
      </c>
      <c r="Y516" s="9">
        <v>4</v>
      </c>
      <c r="Z516" s="9">
        <v>88</v>
      </c>
      <c r="AA516" s="9">
        <v>0</v>
      </c>
    </row>
    <row r="517" spans="1:27" s="10" customFormat="1" x14ac:dyDescent="0.25">
      <c r="A517" s="10" t="s">
        <v>36</v>
      </c>
      <c r="B517" s="10" t="s">
        <v>28</v>
      </c>
      <c r="C517" s="10" t="s">
        <v>84</v>
      </c>
      <c r="D517" s="10">
        <v>0</v>
      </c>
      <c r="E517" s="10">
        <v>0</v>
      </c>
      <c r="F517" s="10">
        <v>9.6</v>
      </c>
      <c r="G517" s="10">
        <v>0</v>
      </c>
      <c r="H517" s="10">
        <v>0</v>
      </c>
      <c r="I517" s="10">
        <v>0</v>
      </c>
      <c r="J517" s="10">
        <v>0</v>
      </c>
      <c r="K517" s="10">
        <v>0.53333333333333299</v>
      </c>
      <c r="L517" s="10">
        <v>0</v>
      </c>
      <c r="M517" s="10">
        <v>0</v>
      </c>
      <c r="N517" s="10">
        <v>0</v>
      </c>
      <c r="O517" s="10">
        <v>0.8</v>
      </c>
      <c r="P517" s="10">
        <v>0</v>
      </c>
      <c r="Q517" s="10">
        <v>0</v>
      </c>
      <c r="R517" s="10">
        <v>1.6</v>
      </c>
      <c r="S517" s="10">
        <v>0</v>
      </c>
      <c r="T517" s="10">
        <v>0.266666666666667</v>
      </c>
      <c r="U517" s="10">
        <v>0.53333333333333299</v>
      </c>
      <c r="V517" s="10">
        <v>0</v>
      </c>
      <c r="W517" s="10">
        <v>0</v>
      </c>
      <c r="X517" s="10">
        <v>21.066666666666698</v>
      </c>
      <c r="Y517" s="10">
        <v>4.2666666666666702</v>
      </c>
      <c r="Z517" s="10">
        <v>60.8</v>
      </c>
      <c r="AA517" s="10">
        <v>0.53333333333333299</v>
      </c>
    </row>
    <row r="518" spans="1:27" s="10" customFormat="1" x14ac:dyDescent="0.25">
      <c r="A518" s="10" t="s">
        <v>36</v>
      </c>
      <c r="B518" s="10" t="s">
        <v>28</v>
      </c>
      <c r="C518" s="10" t="s">
        <v>83</v>
      </c>
      <c r="D518" s="10">
        <v>0</v>
      </c>
      <c r="E518" s="10">
        <v>0</v>
      </c>
      <c r="F518" s="10">
        <v>9.7746026590781305</v>
      </c>
      <c r="G518" s="10">
        <v>0</v>
      </c>
      <c r="H518" s="10">
        <v>0</v>
      </c>
      <c r="I518" s="10">
        <v>0</v>
      </c>
      <c r="J518" s="10">
        <v>0</v>
      </c>
      <c r="K518" s="10">
        <v>2.0655911179772901</v>
      </c>
      <c r="L518" s="10">
        <v>0</v>
      </c>
      <c r="M518" s="10">
        <v>0</v>
      </c>
      <c r="N518" s="10">
        <v>0</v>
      </c>
      <c r="O518" s="10">
        <v>2.2424476423255499</v>
      </c>
      <c r="P518" s="10">
        <v>0</v>
      </c>
      <c r="Q518" s="10">
        <v>0</v>
      </c>
      <c r="R518" s="10">
        <v>2.5298221281347</v>
      </c>
      <c r="S518" s="10">
        <v>0</v>
      </c>
      <c r="T518" s="10">
        <v>1.03279555898864</v>
      </c>
      <c r="U518" s="10">
        <v>1.4074631010979901</v>
      </c>
      <c r="V518" s="10">
        <v>0</v>
      </c>
      <c r="W518" s="10">
        <v>0</v>
      </c>
      <c r="X518" s="10">
        <v>11.460906637451499</v>
      </c>
      <c r="Y518" s="10">
        <v>3.8446004188930201</v>
      </c>
      <c r="Z518" s="10">
        <v>17.579208498353101</v>
      </c>
      <c r="AA518" s="10">
        <v>1.4074631010979901</v>
      </c>
    </row>
    <row r="519" spans="1:27" s="10" customFormat="1" x14ac:dyDescent="0.25">
      <c r="A519" s="10" t="s">
        <v>36</v>
      </c>
      <c r="B519" s="10" t="s">
        <v>28</v>
      </c>
      <c r="C519" s="10" t="s">
        <v>82</v>
      </c>
      <c r="D519" s="10">
        <v>0</v>
      </c>
      <c r="E519" s="10">
        <v>0</v>
      </c>
      <c r="F519" s="10">
        <v>8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20</v>
      </c>
      <c r="Y519" s="10">
        <v>4</v>
      </c>
      <c r="Z519" s="10">
        <v>60</v>
      </c>
      <c r="AA519" s="10">
        <v>0</v>
      </c>
    </row>
    <row r="520" spans="1:27" s="10" customFormat="1" x14ac:dyDescent="0.25">
      <c r="A520" s="10" t="s">
        <v>36</v>
      </c>
      <c r="B520" s="10" t="s">
        <v>28</v>
      </c>
      <c r="C520" s="10" t="s">
        <v>81</v>
      </c>
      <c r="D520" s="10">
        <v>0</v>
      </c>
      <c r="E520" s="10">
        <v>0</v>
      </c>
      <c r="F520" s="10">
        <v>0</v>
      </c>
      <c r="G520" s="10">
        <v>0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14</v>
      </c>
      <c r="Y520" s="10">
        <v>0</v>
      </c>
      <c r="Z520" s="10">
        <v>50</v>
      </c>
      <c r="AA520" s="10">
        <v>0</v>
      </c>
    </row>
    <row r="521" spans="1:27" s="10" customFormat="1" x14ac:dyDescent="0.25">
      <c r="A521" s="10" t="s">
        <v>36</v>
      </c>
      <c r="B521" s="10" t="s">
        <v>28</v>
      </c>
      <c r="C521" s="10" t="s">
        <v>80</v>
      </c>
      <c r="D521" s="10">
        <v>0</v>
      </c>
      <c r="E521" s="10">
        <v>0</v>
      </c>
      <c r="F521" s="10">
        <v>14</v>
      </c>
      <c r="G521" s="10">
        <v>0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4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26</v>
      </c>
      <c r="Y521" s="10">
        <v>8</v>
      </c>
      <c r="Z521" s="10">
        <v>74</v>
      </c>
      <c r="AA521" s="10">
        <v>0</v>
      </c>
    </row>
    <row r="522" spans="1:27" x14ac:dyDescent="0.25">
      <c r="A522" s="9" t="s">
        <v>36</v>
      </c>
      <c r="B522" s="9" t="s">
        <v>29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8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8</v>
      </c>
      <c r="Y522" s="9">
        <v>4</v>
      </c>
      <c r="Z522" s="9">
        <v>76</v>
      </c>
      <c r="AA522" s="9">
        <v>4</v>
      </c>
    </row>
    <row r="523" spans="1:27" x14ac:dyDescent="0.25">
      <c r="A523" s="9" t="s">
        <v>36</v>
      </c>
      <c r="B523" s="9" t="s">
        <v>29</v>
      </c>
      <c r="D523" s="9">
        <v>0</v>
      </c>
      <c r="E523" s="9">
        <v>0</v>
      </c>
      <c r="F523" s="9">
        <v>20</v>
      </c>
      <c r="G523" s="9">
        <v>0</v>
      </c>
      <c r="H523" s="9">
        <v>0</v>
      </c>
      <c r="I523" s="9">
        <v>0</v>
      </c>
      <c r="J523" s="9">
        <v>0</v>
      </c>
      <c r="K523" s="9">
        <v>4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16</v>
      </c>
      <c r="Y523" s="9">
        <v>0</v>
      </c>
      <c r="Z523" s="9">
        <v>60</v>
      </c>
      <c r="AA523" s="9">
        <v>0</v>
      </c>
    </row>
    <row r="524" spans="1:27" x14ac:dyDescent="0.25">
      <c r="A524" s="9" t="s">
        <v>36</v>
      </c>
      <c r="B524" s="9" t="s">
        <v>29</v>
      </c>
      <c r="D524" s="9">
        <v>0</v>
      </c>
      <c r="E524" s="9">
        <v>0</v>
      </c>
      <c r="F524" s="9">
        <v>28</v>
      </c>
      <c r="G524" s="9">
        <v>0</v>
      </c>
      <c r="H524" s="9">
        <v>0</v>
      </c>
      <c r="I524" s="9">
        <v>0</v>
      </c>
      <c r="J524" s="9">
        <v>0</v>
      </c>
      <c r="K524" s="9">
        <v>8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8</v>
      </c>
      <c r="Y524" s="9">
        <v>0</v>
      </c>
      <c r="Z524" s="9">
        <v>56</v>
      </c>
      <c r="AA524" s="9">
        <v>0</v>
      </c>
    </row>
    <row r="525" spans="1:27" x14ac:dyDescent="0.25">
      <c r="A525" s="9" t="s">
        <v>36</v>
      </c>
      <c r="B525" s="9" t="s">
        <v>29</v>
      </c>
      <c r="D525" s="9">
        <v>56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4</v>
      </c>
      <c r="Y525" s="9">
        <v>0</v>
      </c>
      <c r="Z525" s="9">
        <v>40</v>
      </c>
      <c r="AA525" s="9">
        <v>0</v>
      </c>
    </row>
    <row r="526" spans="1:27" x14ac:dyDescent="0.25">
      <c r="A526" s="9" t="s">
        <v>36</v>
      </c>
      <c r="B526" s="9" t="s">
        <v>29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4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12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20</v>
      </c>
      <c r="Y526" s="9">
        <v>4</v>
      </c>
      <c r="Z526" s="9">
        <v>60</v>
      </c>
      <c r="AA526" s="9">
        <v>0</v>
      </c>
    </row>
    <row r="527" spans="1:27" x14ac:dyDescent="0.25">
      <c r="A527" s="9" t="s">
        <v>36</v>
      </c>
      <c r="B527" s="9" t="s">
        <v>29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8</v>
      </c>
      <c r="O527" s="9">
        <v>8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4</v>
      </c>
      <c r="V527" s="9">
        <v>0</v>
      </c>
      <c r="W527" s="9">
        <v>0</v>
      </c>
      <c r="X527" s="9">
        <v>0</v>
      </c>
      <c r="Y527" s="9">
        <v>0</v>
      </c>
      <c r="Z527" s="9">
        <v>76</v>
      </c>
      <c r="AA527" s="9">
        <v>4</v>
      </c>
    </row>
    <row r="528" spans="1:27" x14ac:dyDescent="0.25">
      <c r="A528" s="9" t="s">
        <v>36</v>
      </c>
      <c r="B528" s="9" t="s">
        <v>29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8</v>
      </c>
      <c r="Y528" s="9">
        <v>8</v>
      </c>
      <c r="Z528" s="9">
        <v>84</v>
      </c>
      <c r="AA528" s="9">
        <v>0</v>
      </c>
    </row>
    <row r="529" spans="1:27" x14ac:dyDescent="0.25">
      <c r="A529" s="9" t="s">
        <v>36</v>
      </c>
      <c r="B529" s="9" t="s">
        <v>29</v>
      </c>
      <c r="D529" s="9">
        <v>0</v>
      </c>
      <c r="E529" s="9">
        <v>0</v>
      </c>
      <c r="F529" s="9">
        <v>0</v>
      </c>
      <c r="G529" s="9">
        <v>8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12</v>
      </c>
      <c r="P529" s="9">
        <v>0</v>
      </c>
      <c r="Q529" s="9">
        <v>0</v>
      </c>
      <c r="R529" s="9">
        <v>4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12</v>
      </c>
      <c r="Y529" s="9">
        <v>0</v>
      </c>
      <c r="Z529" s="9">
        <v>64</v>
      </c>
      <c r="AA529" s="9">
        <v>0</v>
      </c>
    </row>
    <row r="530" spans="1:27" x14ac:dyDescent="0.25">
      <c r="A530" s="9" t="s">
        <v>36</v>
      </c>
      <c r="B530" s="9" t="s">
        <v>29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4</v>
      </c>
      <c r="Y530" s="9">
        <v>0</v>
      </c>
      <c r="Z530" s="9">
        <v>96</v>
      </c>
      <c r="AA530" s="9">
        <v>0</v>
      </c>
    </row>
    <row r="531" spans="1:27" x14ac:dyDescent="0.25">
      <c r="A531" s="9" t="s">
        <v>36</v>
      </c>
      <c r="B531" s="9" t="s">
        <v>29</v>
      </c>
      <c r="D531" s="9">
        <v>0</v>
      </c>
      <c r="E531" s="9">
        <v>0</v>
      </c>
      <c r="F531" s="9">
        <v>20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4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8</v>
      </c>
      <c r="Y531" s="9">
        <v>0</v>
      </c>
      <c r="Z531" s="9">
        <v>68</v>
      </c>
      <c r="AA531" s="9">
        <v>0</v>
      </c>
    </row>
    <row r="532" spans="1:27" x14ac:dyDescent="0.25">
      <c r="A532" s="9" t="s">
        <v>36</v>
      </c>
      <c r="B532" s="9" t="s">
        <v>29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100</v>
      </c>
      <c r="AA532" s="9">
        <v>0</v>
      </c>
    </row>
    <row r="533" spans="1:27" x14ac:dyDescent="0.25">
      <c r="A533" s="9" t="s">
        <v>36</v>
      </c>
      <c r="B533" s="9" t="s">
        <v>29</v>
      </c>
      <c r="D533" s="9">
        <v>0</v>
      </c>
      <c r="E533" s="9">
        <v>0</v>
      </c>
      <c r="F533" s="9">
        <v>0</v>
      </c>
      <c r="G533" s="9">
        <v>8</v>
      </c>
      <c r="H533" s="9">
        <v>0</v>
      </c>
      <c r="I533" s="9">
        <v>0</v>
      </c>
      <c r="J533" s="9">
        <v>0</v>
      </c>
      <c r="K533" s="9">
        <v>4</v>
      </c>
      <c r="L533" s="9">
        <v>0</v>
      </c>
      <c r="M533" s="9">
        <v>0</v>
      </c>
      <c r="N533" s="9">
        <v>0</v>
      </c>
      <c r="O533" s="9">
        <v>4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16</v>
      </c>
      <c r="Y533" s="9">
        <v>4</v>
      </c>
      <c r="Z533" s="9">
        <v>64</v>
      </c>
      <c r="AA533" s="9">
        <v>0</v>
      </c>
    </row>
    <row r="534" spans="1:27" x14ac:dyDescent="0.25">
      <c r="A534" s="9" t="s">
        <v>36</v>
      </c>
      <c r="B534" s="9" t="s">
        <v>29</v>
      </c>
      <c r="D534" s="9">
        <v>4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8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20</v>
      </c>
      <c r="Y534" s="9">
        <v>8</v>
      </c>
      <c r="Z534" s="9">
        <v>52</v>
      </c>
      <c r="AA534" s="9">
        <v>8</v>
      </c>
    </row>
    <row r="535" spans="1:27" x14ac:dyDescent="0.25">
      <c r="A535" s="9" t="s">
        <v>36</v>
      </c>
      <c r="B535" s="9" t="s">
        <v>29</v>
      </c>
      <c r="D535" s="9">
        <v>0</v>
      </c>
      <c r="E535" s="9">
        <v>0</v>
      </c>
      <c r="F535" s="9">
        <v>12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8</v>
      </c>
      <c r="Y535" s="9">
        <v>0</v>
      </c>
      <c r="Z535" s="9">
        <v>80</v>
      </c>
      <c r="AA535" s="9">
        <v>0</v>
      </c>
    </row>
    <row r="536" spans="1:27" x14ac:dyDescent="0.25">
      <c r="A536" s="9" t="s">
        <v>36</v>
      </c>
      <c r="B536" s="9" t="s">
        <v>29</v>
      </c>
      <c r="D536" s="9">
        <v>12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4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28</v>
      </c>
      <c r="Y536" s="9">
        <v>4</v>
      </c>
      <c r="Z536" s="9">
        <v>52</v>
      </c>
      <c r="AA536" s="9">
        <v>0</v>
      </c>
    </row>
    <row r="537" spans="1:27" s="10" customFormat="1" x14ac:dyDescent="0.25">
      <c r="A537" s="10" t="s">
        <v>36</v>
      </c>
      <c r="B537" s="10" t="s">
        <v>29</v>
      </c>
      <c r="C537" s="10" t="s">
        <v>84</v>
      </c>
      <c r="D537" s="10">
        <v>4.8</v>
      </c>
      <c r="E537" s="10">
        <v>0</v>
      </c>
      <c r="F537" s="10">
        <v>5.3333333333333304</v>
      </c>
      <c r="G537" s="10">
        <v>1.06666666666667</v>
      </c>
      <c r="H537" s="10">
        <v>0</v>
      </c>
      <c r="I537" s="10">
        <v>0</v>
      </c>
      <c r="J537" s="10">
        <v>0</v>
      </c>
      <c r="K537" s="10">
        <v>1.6</v>
      </c>
      <c r="L537" s="10">
        <v>0.266666666666667</v>
      </c>
      <c r="M537" s="10">
        <v>0</v>
      </c>
      <c r="N537" s="10">
        <v>0.53333333333333299</v>
      </c>
      <c r="O537" s="10">
        <v>1.6</v>
      </c>
      <c r="P537" s="10">
        <v>0</v>
      </c>
      <c r="Q537" s="10">
        <v>0</v>
      </c>
      <c r="R537" s="10">
        <v>2.1333333333333302</v>
      </c>
      <c r="S537" s="10">
        <v>0</v>
      </c>
      <c r="T537" s="10">
        <v>0</v>
      </c>
      <c r="U537" s="10">
        <v>0.266666666666667</v>
      </c>
      <c r="V537" s="10">
        <v>0</v>
      </c>
      <c r="W537" s="10">
        <v>0</v>
      </c>
      <c r="X537" s="10">
        <v>10.6666666666667</v>
      </c>
      <c r="Y537" s="10">
        <v>2.1333333333333302</v>
      </c>
      <c r="Z537" s="10">
        <v>68.533333333333303</v>
      </c>
      <c r="AA537" s="10">
        <v>1.06666666666667</v>
      </c>
    </row>
    <row r="538" spans="1:27" s="10" customFormat="1" x14ac:dyDescent="0.25">
      <c r="A538" s="10" t="s">
        <v>36</v>
      </c>
      <c r="B538" s="10" t="s">
        <v>29</v>
      </c>
      <c r="C538" s="10" t="s">
        <v>83</v>
      </c>
      <c r="D538" s="10">
        <v>14.516985125805499</v>
      </c>
      <c r="E538" s="10">
        <v>0</v>
      </c>
      <c r="F538" s="10">
        <v>9.6411815122619196</v>
      </c>
      <c r="G538" s="10">
        <v>2.81492620219599</v>
      </c>
      <c r="H538" s="10">
        <v>0</v>
      </c>
      <c r="I538" s="10">
        <v>0</v>
      </c>
      <c r="J538" s="10">
        <v>0</v>
      </c>
      <c r="K538" s="10">
        <v>2.9471535904520301</v>
      </c>
      <c r="L538" s="10">
        <v>1.03279555898864</v>
      </c>
      <c r="M538" s="10">
        <v>0</v>
      </c>
      <c r="N538" s="10">
        <v>2.0655911179772901</v>
      </c>
      <c r="O538" s="10">
        <v>3.6410359593311998</v>
      </c>
      <c r="P538" s="10">
        <v>0</v>
      </c>
      <c r="Q538" s="10">
        <v>0</v>
      </c>
      <c r="R538" s="10">
        <v>3.6619016657365102</v>
      </c>
      <c r="S538" s="10">
        <v>0</v>
      </c>
      <c r="T538" s="10">
        <v>0</v>
      </c>
      <c r="U538" s="10">
        <v>1.03279555898864</v>
      </c>
      <c r="V538" s="10">
        <v>0</v>
      </c>
      <c r="W538" s="10">
        <v>0</v>
      </c>
      <c r="X538" s="10">
        <v>7.9522383791040401</v>
      </c>
      <c r="Y538" s="10">
        <v>2.9728934118288302</v>
      </c>
      <c r="Z538" s="10">
        <v>16.7582247042488</v>
      </c>
      <c r="AA538" s="10">
        <v>2.37446735881865</v>
      </c>
    </row>
    <row r="539" spans="1:27" s="10" customFormat="1" x14ac:dyDescent="0.25">
      <c r="A539" s="10" t="s">
        <v>36</v>
      </c>
      <c r="B539" s="10" t="s">
        <v>29</v>
      </c>
      <c r="C539" s="10" t="s">
        <v>82</v>
      </c>
      <c r="D539" s="10">
        <v>0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8</v>
      </c>
      <c r="Y539" s="10">
        <v>0</v>
      </c>
      <c r="Z539" s="10">
        <v>64</v>
      </c>
      <c r="AA539" s="10">
        <v>0</v>
      </c>
    </row>
    <row r="540" spans="1:27" s="10" customFormat="1" x14ac:dyDescent="0.25">
      <c r="A540" s="10" t="s">
        <v>36</v>
      </c>
      <c r="B540" s="10" t="s">
        <v>29</v>
      </c>
      <c r="C540" s="10" t="s">
        <v>81</v>
      </c>
      <c r="D540" s="10">
        <v>0</v>
      </c>
      <c r="E540" s="10">
        <v>0</v>
      </c>
      <c r="F540" s="10">
        <v>0</v>
      </c>
      <c r="G540" s="10">
        <v>0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6</v>
      </c>
      <c r="Y540" s="10">
        <v>0</v>
      </c>
      <c r="Z540" s="10">
        <v>58</v>
      </c>
      <c r="AA540" s="10">
        <v>0</v>
      </c>
    </row>
    <row r="541" spans="1:27" s="10" customFormat="1" x14ac:dyDescent="0.25">
      <c r="A541" s="10" t="s">
        <v>36</v>
      </c>
      <c r="B541" s="10" t="s">
        <v>29</v>
      </c>
      <c r="C541" s="10" t="s">
        <v>80</v>
      </c>
      <c r="D541" s="10">
        <v>0</v>
      </c>
      <c r="E541" s="10">
        <v>0</v>
      </c>
      <c r="F541" s="10">
        <v>6</v>
      </c>
      <c r="G541" s="10">
        <v>0</v>
      </c>
      <c r="H541" s="10">
        <v>0</v>
      </c>
      <c r="I541" s="10">
        <v>0</v>
      </c>
      <c r="J541" s="10">
        <v>0</v>
      </c>
      <c r="K541" s="10">
        <v>2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4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16</v>
      </c>
      <c r="Y541" s="10">
        <v>4</v>
      </c>
      <c r="Z541" s="10">
        <v>78</v>
      </c>
      <c r="AA541" s="10">
        <v>0</v>
      </c>
    </row>
    <row r="542" spans="1:27" x14ac:dyDescent="0.25">
      <c r="A542" s="9" t="s">
        <v>36</v>
      </c>
      <c r="B542" s="9" t="s">
        <v>30</v>
      </c>
      <c r="D542" s="9">
        <v>0</v>
      </c>
      <c r="E542" s="9">
        <v>0</v>
      </c>
      <c r="F542" s="9">
        <v>8</v>
      </c>
      <c r="G542" s="9">
        <v>0</v>
      </c>
      <c r="H542" s="9">
        <v>0</v>
      </c>
      <c r="I542" s="9">
        <v>0</v>
      </c>
      <c r="J542" s="9">
        <v>4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4</v>
      </c>
      <c r="S542" s="9">
        <v>0</v>
      </c>
      <c r="T542" s="9">
        <v>0</v>
      </c>
      <c r="U542" s="9">
        <v>4</v>
      </c>
      <c r="V542" s="9">
        <v>0</v>
      </c>
      <c r="W542" s="9">
        <v>0</v>
      </c>
      <c r="X542" s="9">
        <v>8</v>
      </c>
      <c r="Y542" s="9">
        <v>16</v>
      </c>
      <c r="Z542" s="9">
        <v>56</v>
      </c>
      <c r="AA542" s="9">
        <v>0</v>
      </c>
    </row>
    <row r="543" spans="1:27" x14ac:dyDescent="0.25">
      <c r="A543" s="9" t="s">
        <v>36</v>
      </c>
      <c r="B543" s="9" t="s">
        <v>30</v>
      </c>
      <c r="D543" s="9">
        <v>0</v>
      </c>
      <c r="E543" s="9">
        <v>0</v>
      </c>
      <c r="F543" s="9">
        <v>40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8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52</v>
      </c>
      <c r="AA543" s="9">
        <v>0</v>
      </c>
    </row>
    <row r="544" spans="1:27" x14ac:dyDescent="0.25">
      <c r="A544" s="9" t="s">
        <v>36</v>
      </c>
      <c r="B544" s="9" t="s">
        <v>30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16</v>
      </c>
      <c r="Y544" s="9">
        <v>8</v>
      </c>
      <c r="Z544" s="9">
        <v>76</v>
      </c>
      <c r="AA544" s="9">
        <v>0</v>
      </c>
    </row>
    <row r="545" spans="1:27" x14ac:dyDescent="0.25">
      <c r="A545" s="9" t="s">
        <v>36</v>
      </c>
      <c r="B545" s="9" t="s">
        <v>30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100</v>
      </c>
      <c r="AA545" s="9">
        <v>0</v>
      </c>
    </row>
    <row r="546" spans="1:27" x14ac:dyDescent="0.25">
      <c r="A546" s="9" t="s">
        <v>36</v>
      </c>
      <c r="B546" s="9" t="s">
        <v>30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16</v>
      </c>
      <c r="O546" s="9">
        <v>8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20</v>
      </c>
      <c r="Y546" s="9">
        <v>0</v>
      </c>
      <c r="Z546" s="9">
        <v>56</v>
      </c>
      <c r="AA546" s="9">
        <v>0</v>
      </c>
    </row>
    <row r="547" spans="1:27" x14ac:dyDescent="0.25">
      <c r="A547" s="9" t="s">
        <v>36</v>
      </c>
      <c r="B547" s="9" t="s">
        <v>30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16</v>
      </c>
      <c r="O547" s="9">
        <v>4</v>
      </c>
      <c r="P547" s="9">
        <v>0</v>
      </c>
      <c r="Q547" s="9">
        <v>0</v>
      </c>
      <c r="R547" s="9">
        <v>4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20</v>
      </c>
      <c r="Y547" s="9">
        <v>0</v>
      </c>
      <c r="Z547" s="9">
        <v>56</v>
      </c>
      <c r="AA547" s="9">
        <v>0</v>
      </c>
    </row>
    <row r="548" spans="1:27" x14ac:dyDescent="0.25">
      <c r="A548" s="9" t="s">
        <v>36</v>
      </c>
      <c r="B548" s="9" t="s">
        <v>30</v>
      </c>
      <c r="D548" s="9">
        <v>0</v>
      </c>
      <c r="E548" s="9">
        <v>0</v>
      </c>
      <c r="F548" s="9">
        <v>32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40</v>
      </c>
      <c r="Y548" s="9">
        <v>4</v>
      </c>
      <c r="Z548" s="9">
        <v>24</v>
      </c>
      <c r="AA548" s="9">
        <v>0</v>
      </c>
    </row>
    <row r="549" spans="1:27" x14ac:dyDescent="0.25">
      <c r="A549" s="9" t="s">
        <v>36</v>
      </c>
      <c r="B549" s="9" t="s">
        <v>30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20</v>
      </c>
      <c r="Y549" s="9">
        <v>0</v>
      </c>
      <c r="Z549" s="9">
        <v>80</v>
      </c>
      <c r="AA549" s="9">
        <v>0</v>
      </c>
    </row>
    <row r="550" spans="1:27" x14ac:dyDescent="0.25">
      <c r="A550" s="9" t="s">
        <v>36</v>
      </c>
      <c r="B550" s="9" t="s">
        <v>30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20</v>
      </c>
      <c r="Y550" s="9">
        <v>8</v>
      </c>
      <c r="Z550" s="9">
        <v>72</v>
      </c>
      <c r="AA550" s="9">
        <v>0</v>
      </c>
    </row>
    <row r="551" spans="1:27" x14ac:dyDescent="0.25">
      <c r="A551" s="9" t="s">
        <v>36</v>
      </c>
      <c r="B551" s="9" t="s">
        <v>30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20</v>
      </c>
      <c r="Y551" s="9">
        <v>0</v>
      </c>
      <c r="Z551" s="9">
        <v>80</v>
      </c>
      <c r="AA551" s="9">
        <v>0</v>
      </c>
    </row>
    <row r="552" spans="1:27" x14ac:dyDescent="0.25">
      <c r="A552" s="9" t="s">
        <v>36</v>
      </c>
      <c r="B552" s="9" t="s">
        <v>30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52</v>
      </c>
      <c r="Y552" s="9">
        <v>4</v>
      </c>
      <c r="Z552" s="9">
        <v>40</v>
      </c>
      <c r="AA552" s="9">
        <v>4</v>
      </c>
    </row>
    <row r="553" spans="1:27" x14ac:dyDescent="0.25">
      <c r="A553" s="9" t="s">
        <v>36</v>
      </c>
      <c r="B553" s="9" t="s">
        <v>30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4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28</v>
      </c>
      <c r="Y553" s="9">
        <v>0</v>
      </c>
      <c r="Z553" s="9">
        <v>68</v>
      </c>
      <c r="AA553" s="9">
        <v>0</v>
      </c>
    </row>
    <row r="554" spans="1:27" x14ac:dyDescent="0.25">
      <c r="A554" s="9" t="s">
        <v>36</v>
      </c>
      <c r="B554" s="9" t="s">
        <v>30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4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12</v>
      </c>
      <c r="Y554" s="9">
        <v>4</v>
      </c>
      <c r="Z554" s="9">
        <v>80</v>
      </c>
      <c r="AA554" s="9">
        <v>0</v>
      </c>
    </row>
    <row r="555" spans="1:27" x14ac:dyDescent="0.25">
      <c r="A555" s="9" t="s">
        <v>36</v>
      </c>
      <c r="B555" s="9" t="s">
        <v>30</v>
      </c>
      <c r="D555" s="9">
        <v>0</v>
      </c>
      <c r="E555" s="9">
        <v>0</v>
      </c>
      <c r="F555" s="9">
        <v>24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4</v>
      </c>
      <c r="Y555" s="9">
        <v>0</v>
      </c>
      <c r="Z555" s="9">
        <v>68</v>
      </c>
      <c r="AA555" s="9">
        <v>4</v>
      </c>
    </row>
    <row r="556" spans="1:27" x14ac:dyDescent="0.25">
      <c r="A556" s="9" t="s">
        <v>36</v>
      </c>
      <c r="B556" s="9" t="s">
        <v>30</v>
      </c>
      <c r="D556" s="9">
        <v>12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8</v>
      </c>
      <c r="Y556" s="9">
        <v>4</v>
      </c>
      <c r="Z556" s="9">
        <v>76</v>
      </c>
      <c r="AA556" s="9">
        <v>0</v>
      </c>
    </row>
    <row r="557" spans="1:27" s="10" customFormat="1" x14ac:dyDescent="0.25">
      <c r="A557" s="10" t="s">
        <v>36</v>
      </c>
      <c r="B557" s="10" t="s">
        <v>30</v>
      </c>
      <c r="C557" s="10" t="s">
        <v>84</v>
      </c>
      <c r="D557" s="10">
        <v>0.8</v>
      </c>
      <c r="E557" s="10">
        <v>0</v>
      </c>
      <c r="F557" s="10">
        <v>6.93333333333333</v>
      </c>
      <c r="G557" s="10">
        <v>0</v>
      </c>
      <c r="H557" s="10">
        <v>0</v>
      </c>
      <c r="I557" s="10">
        <v>0</v>
      </c>
      <c r="J557" s="10">
        <v>0.266666666666667</v>
      </c>
      <c r="K557" s="10">
        <v>0.266666666666667</v>
      </c>
      <c r="L557" s="10">
        <v>0.266666666666667</v>
      </c>
      <c r="M557" s="10">
        <v>0</v>
      </c>
      <c r="N557" s="10">
        <v>2.1333333333333302</v>
      </c>
      <c r="O557" s="10">
        <v>0.8</v>
      </c>
      <c r="P557" s="10">
        <v>0</v>
      </c>
      <c r="Q557" s="10">
        <v>0</v>
      </c>
      <c r="R557" s="10">
        <v>1.06666666666667</v>
      </c>
      <c r="S557" s="10">
        <v>0</v>
      </c>
      <c r="T557" s="10">
        <v>0</v>
      </c>
      <c r="U557" s="10">
        <v>0.266666666666667</v>
      </c>
      <c r="V557" s="10">
        <v>0</v>
      </c>
      <c r="W557" s="10">
        <v>0</v>
      </c>
      <c r="X557" s="10">
        <v>17.866666666666699</v>
      </c>
      <c r="Y557" s="10">
        <v>3.2</v>
      </c>
      <c r="Z557" s="10">
        <v>65.599999999999994</v>
      </c>
      <c r="AA557" s="10">
        <v>0.53333333333333299</v>
      </c>
    </row>
    <row r="558" spans="1:27" s="10" customFormat="1" x14ac:dyDescent="0.25">
      <c r="A558" s="10" t="s">
        <v>36</v>
      </c>
      <c r="B558" s="10" t="s">
        <v>30</v>
      </c>
      <c r="C558" s="10" t="s">
        <v>83</v>
      </c>
      <c r="D558" s="10">
        <v>3.0983866769659301</v>
      </c>
      <c r="E558" s="10">
        <v>0</v>
      </c>
      <c r="F558" s="10">
        <v>13.4773178057837</v>
      </c>
      <c r="G558" s="10">
        <v>0</v>
      </c>
      <c r="H558" s="10">
        <v>0</v>
      </c>
      <c r="I558" s="10">
        <v>0</v>
      </c>
      <c r="J558" s="10">
        <v>1.03279555898864</v>
      </c>
      <c r="K558" s="10">
        <v>1.03279555898864</v>
      </c>
      <c r="L558" s="10">
        <v>1.03279555898864</v>
      </c>
      <c r="M558" s="10">
        <v>0</v>
      </c>
      <c r="N558" s="10">
        <v>5.6298524043919702</v>
      </c>
      <c r="O558" s="10">
        <v>2.2424476423255499</v>
      </c>
      <c r="P558" s="10">
        <v>0</v>
      </c>
      <c r="Q558" s="10">
        <v>0</v>
      </c>
      <c r="R558" s="10">
        <v>2.37446735881865</v>
      </c>
      <c r="S558" s="10">
        <v>0</v>
      </c>
      <c r="T558" s="10">
        <v>0</v>
      </c>
      <c r="U558" s="10">
        <v>1.03279555898864</v>
      </c>
      <c r="V558" s="10">
        <v>0</v>
      </c>
      <c r="W558" s="10">
        <v>0</v>
      </c>
      <c r="X558" s="10">
        <v>14.252151049010401</v>
      </c>
      <c r="Y558" s="10">
        <v>4.5856920337688898</v>
      </c>
      <c r="Z558" s="10">
        <v>18.749476183159299</v>
      </c>
      <c r="AA558" s="10">
        <v>1.4074631010979901</v>
      </c>
    </row>
    <row r="559" spans="1:27" s="10" customFormat="1" x14ac:dyDescent="0.25">
      <c r="A559" s="10" t="s">
        <v>36</v>
      </c>
      <c r="B559" s="10" t="s">
        <v>30</v>
      </c>
      <c r="C559" s="10" t="s">
        <v>82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20</v>
      </c>
      <c r="Y559" s="10">
        <v>0</v>
      </c>
      <c r="Z559" s="10">
        <v>68</v>
      </c>
      <c r="AA559" s="10">
        <v>0</v>
      </c>
    </row>
    <row r="560" spans="1:27" s="10" customFormat="1" x14ac:dyDescent="0.25">
      <c r="A560" s="10" t="s">
        <v>36</v>
      </c>
      <c r="B560" s="10" t="s">
        <v>30</v>
      </c>
      <c r="C560" s="10" t="s">
        <v>81</v>
      </c>
      <c r="D560" s="10">
        <v>0</v>
      </c>
      <c r="E560" s="10">
        <v>0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8</v>
      </c>
      <c r="Y560" s="10">
        <v>0</v>
      </c>
      <c r="Z560" s="10">
        <v>56</v>
      </c>
      <c r="AA560" s="10">
        <v>0</v>
      </c>
    </row>
    <row r="561" spans="1:27" s="10" customFormat="1" x14ac:dyDescent="0.25">
      <c r="A561" s="10" t="s">
        <v>36</v>
      </c>
      <c r="B561" s="10" t="s">
        <v>30</v>
      </c>
      <c r="C561" s="10" t="s">
        <v>80</v>
      </c>
      <c r="D561" s="10">
        <v>0</v>
      </c>
      <c r="E561" s="10">
        <v>0</v>
      </c>
      <c r="F561" s="10">
        <v>4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20</v>
      </c>
      <c r="Y561" s="10">
        <v>4</v>
      </c>
      <c r="Z561" s="10">
        <v>78</v>
      </c>
      <c r="AA561" s="10">
        <v>0</v>
      </c>
    </row>
    <row r="562" spans="1:27" x14ac:dyDescent="0.25">
      <c r="A562" s="9" t="s">
        <v>36</v>
      </c>
      <c r="B562" s="9" t="s">
        <v>31</v>
      </c>
      <c r="D562" s="9">
        <v>0</v>
      </c>
      <c r="E562" s="9">
        <v>0</v>
      </c>
      <c r="F562" s="9">
        <v>4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4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60</v>
      </c>
      <c r="Y562" s="9">
        <v>4</v>
      </c>
      <c r="Z562" s="9">
        <v>20</v>
      </c>
      <c r="AA562" s="9">
        <v>8</v>
      </c>
    </row>
    <row r="563" spans="1:27" x14ac:dyDescent="0.25">
      <c r="A563" s="9" t="s">
        <v>36</v>
      </c>
      <c r="B563" s="9" t="s">
        <v>31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4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8</v>
      </c>
      <c r="Y563" s="9">
        <v>4</v>
      </c>
      <c r="Z563" s="9">
        <v>80</v>
      </c>
      <c r="AA563" s="9">
        <v>4</v>
      </c>
    </row>
    <row r="564" spans="1:27" x14ac:dyDescent="0.25">
      <c r="A564" s="9" t="s">
        <v>36</v>
      </c>
      <c r="B564" s="9" t="s">
        <v>31</v>
      </c>
      <c r="D564" s="9">
        <v>0</v>
      </c>
      <c r="E564" s="9">
        <v>0</v>
      </c>
      <c r="F564" s="9">
        <v>16</v>
      </c>
      <c r="G564" s="9">
        <v>0</v>
      </c>
      <c r="H564" s="9">
        <v>0</v>
      </c>
      <c r="I564" s="9">
        <v>0</v>
      </c>
      <c r="J564" s="9">
        <v>0</v>
      </c>
      <c r="K564" s="9">
        <v>4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4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40</v>
      </c>
      <c r="Y564" s="9">
        <v>4</v>
      </c>
      <c r="Z564" s="9">
        <v>24</v>
      </c>
      <c r="AA564" s="9">
        <v>8</v>
      </c>
    </row>
    <row r="565" spans="1:27" x14ac:dyDescent="0.25">
      <c r="A565" s="9" t="s">
        <v>36</v>
      </c>
      <c r="B565" s="9" t="s">
        <v>31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4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96</v>
      </c>
      <c r="AA565" s="9">
        <v>0</v>
      </c>
    </row>
    <row r="566" spans="1:27" x14ac:dyDescent="0.25">
      <c r="A566" s="9" t="s">
        <v>36</v>
      </c>
      <c r="B566" s="9" t="s">
        <v>31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4</v>
      </c>
      <c r="V566" s="9">
        <v>0</v>
      </c>
      <c r="W566" s="9">
        <v>0</v>
      </c>
      <c r="X566" s="9">
        <v>28</v>
      </c>
      <c r="Y566" s="9">
        <v>12</v>
      </c>
      <c r="Z566" s="9">
        <v>52</v>
      </c>
      <c r="AA566" s="9">
        <v>4</v>
      </c>
    </row>
    <row r="567" spans="1:27" x14ac:dyDescent="0.25">
      <c r="A567" s="9" t="s">
        <v>36</v>
      </c>
      <c r="B567" s="9" t="s">
        <v>31</v>
      </c>
      <c r="D567" s="9">
        <v>0</v>
      </c>
      <c r="E567" s="9">
        <v>0</v>
      </c>
      <c r="F567" s="9">
        <v>0</v>
      </c>
      <c r="G567" s="9">
        <v>8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28</v>
      </c>
      <c r="Y567" s="9">
        <v>0</v>
      </c>
      <c r="Z567" s="9">
        <v>60</v>
      </c>
      <c r="AA567" s="9">
        <v>4</v>
      </c>
    </row>
    <row r="568" spans="1:27" x14ac:dyDescent="0.25">
      <c r="A568" s="9" t="s">
        <v>36</v>
      </c>
      <c r="B568" s="9" t="s">
        <v>31</v>
      </c>
      <c r="D568" s="9">
        <v>24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4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12</v>
      </c>
      <c r="Y568" s="9">
        <v>4</v>
      </c>
      <c r="Z568" s="9">
        <v>52</v>
      </c>
      <c r="AA568" s="9">
        <v>4</v>
      </c>
    </row>
    <row r="569" spans="1:27" x14ac:dyDescent="0.25">
      <c r="A569" s="9" t="s">
        <v>36</v>
      </c>
      <c r="B569" s="9" t="s">
        <v>31</v>
      </c>
      <c r="D569" s="9">
        <v>0</v>
      </c>
      <c r="E569" s="9">
        <v>0</v>
      </c>
      <c r="F569" s="9">
        <v>20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4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16</v>
      </c>
      <c r="Y569" s="9">
        <v>0</v>
      </c>
      <c r="Z569" s="9">
        <v>60</v>
      </c>
      <c r="AA569" s="9">
        <v>0</v>
      </c>
    </row>
    <row r="570" spans="1:27" x14ac:dyDescent="0.25">
      <c r="A570" s="9" t="s">
        <v>36</v>
      </c>
      <c r="B570" s="9" t="s">
        <v>31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8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8</v>
      </c>
      <c r="Y570" s="9">
        <v>0</v>
      </c>
      <c r="Z570" s="9">
        <v>84</v>
      </c>
      <c r="AA570" s="9">
        <v>0</v>
      </c>
    </row>
    <row r="571" spans="1:27" x14ac:dyDescent="0.25">
      <c r="A571" s="9" t="s">
        <v>36</v>
      </c>
      <c r="B571" s="9" t="s">
        <v>31</v>
      </c>
      <c r="D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4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12</v>
      </c>
      <c r="Y571" s="9">
        <v>0</v>
      </c>
      <c r="Z571" s="9">
        <v>84</v>
      </c>
      <c r="AA571" s="9">
        <v>0</v>
      </c>
    </row>
    <row r="572" spans="1:27" x14ac:dyDescent="0.25">
      <c r="A572" s="9" t="s">
        <v>36</v>
      </c>
      <c r="B572" s="9" t="s">
        <v>31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4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8</v>
      </c>
      <c r="Y572" s="9">
        <v>0</v>
      </c>
      <c r="Z572" s="9">
        <v>88</v>
      </c>
      <c r="AA572" s="9">
        <v>0</v>
      </c>
    </row>
    <row r="573" spans="1:27" x14ac:dyDescent="0.25">
      <c r="A573" s="9" t="s">
        <v>36</v>
      </c>
      <c r="B573" s="9" t="s">
        <v>31</v>
      </c>
      <c r="D573" s="9">
        <v>0</v>
      </c>
      <c r="E573" s="9">
        <v>0</v>
      </c>
      <c r="F573" s="9">
        <v>12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8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8</v>
      </c>
      <c r="Y573" s="9">
        <v>0</v>
      </c>
      <c r="Z573" s="9">
        <v>72</v>
      </c>
      <c r="AA573" s="9">
        <v>0</v>
      </c>
    </row>
    <row r="574" spans="1:27" x14ac:dyDescent="0.25">
      <c r="A574" s="9" t="s">
        <v>36</v>
      </c>
      <c r="B574" s="9" t="s">
        <v>31</v>
      </c>
      <c r="D574" s="9">
        <v>0</v>
      </c>
      <c r="E574" s="9">
        <v>0</v>
      </c>
      <c r="F574" s="9">
        <v>12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20</v>
      </c>
      <c r="Y574" s="9">
        <v>12</v>
      </c>
      <c r="Z574" s="9">
        <v>56</v>
      </c>
      <c r="AA574" s="9">
        <v>0</v>
      </c>
    </row>
    <row r="575" spans="1:27" x14ac:dyDescent="0.25">
      <c r="A575" s="9" t="s">
        <v>36</v>
      </c>
      <c r="B575" s="9" t="s">
        <v>31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12</v>
      </c>
      <c r="Y575" s="9">
        <v>12</v>
      </c>
      <c r="Z575" s="9">
        <v>76</v>
      </c>
      <c r="AA575" s="9">
        <v>0</v>
      </c>
    </row>
    <row r="576" spans="1:27" x14ac:dyDescent="0.25">
      <c r="A576" s="9" t="s">
        <v>36</v>
      </c>
      <c r="B576" s="9" t="s">
        <v>31</v>
      </c>
      <c r="D576" s="9">
        <v>16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40</v>
      </c>
      <c r="Y576" s="9">
        <v>8</v>
      </c>
      <c r="Z576" s="9">
        <v>32</v>
      </c>
      <c r="AA576" s="9">
        <v>4</v>
      </c>
    </row>
    <row r="577" spans="1:27" s="10" customFormat="1" x14ac:dyDescent="0.25">
      <c r="A577" s="10" t="s">
        <v>36</v>
      </c>
      <c r="B577" s="10" t="s">
        <v>31</v>
      </c>
      <c r="C577" s="10" t="s">
        <v>84</v>
      </c>
      <c r="D577" s="10">
        <v>2.6666666666666701</v>
      </c>
      <c r="E577" s="10">
        <v>0</v>
      </c>
      <c r="F577" s="10">
        <v>4.2666666666666702</v>
      </c>
      <c r="G577" s="10">
        <v>0.53333333333333299</v>
      </c>
      <c r="H577" s="10">
        <v>0</v>
      </c>
      <c r="I577" s="10">
        <v>0</v>
      </c>
      <c r="J577" s="10">
        <v>0</v>
      </c>
      <c r="K577" s="10">
        <v>0.266666666666667</v>
      </c>
      <c r="L577" s="10">
        <v>0</v>
      </c>
      <c r="M577" s="10">
        <v>0</v>
      </c>
      <c r="N577" s="10">
        <v>0.266666666666667</v>
      </c>
      <c r="O577" s="10">
        <v>0</v>
      </c>
      <c r="P577" s="10">
        <v>0</v>
      </c>
      <c r="Q577" s="10">
        <v>0</v>
      </c>
      <c r="R577" s="10">
        <v>2.93333333333333</v>
      </c>
      <c r="S577" s="10">
        <v>0</v>
      </c>
      <c r="T577" s="10">
        <v>0</v>
      </c>
      <c r="U577" s="10">
        <v>0.266666666666667</v>
      </c>
      <c r="V577" s="10">
        <v>0</v>
      </c>
      <c r="W577" s="10">
        <v>0</v>
      </c>
      <c r="X577" s="10">
        <v>20</v>
      </c>
      <c r="Y577" s="10">
        <v>4</v>
      </c>
      <c r="Z577" s="10">
        <v>62.4</v>
      </c>
      <c r="AA577" s="10">
        <v>2.4</v>
      </c>
    </row>
    <row r="578" spans="1:27" s="10" customFormat="1" x14ac:dyDescent="0.25">
      <c r="A578" s="10" t="s">
        <v>36</v>
      </c>
      <c r="B578" s="10" t="s">
        <v>31</v>
      </c>
      <c r="C578" s="10" t="s">
        <v>83</v>
      </c>
      <c r="D578" s="10">
        <v>7.1978832867394997</v>
      </c>
      <c r="E578" s="10">
        <v>0</v>
      </c>
      <c r="F578" s="10">
        <v>7.0047602861673104</v>
      </c>
      <c r="G578" s="10">
        <v>2.0655911179772901</v>
      </c>
      <c r="H578" s="10">
        <v>0</v>
      </c>
      <c r="I578" s="10">
        <v>0</v>
      </c>
      <c r="J578" s="10">
        <v>0</v>
      </c>
      <c r="K578" s="10">
        <v>1.03279555898864</v>
      </c>
      <c r="L578" s="10">
        <v>0</v>
      </c>
      <c r="M578" s="10">
        <v>0</v>
      </c>
      <c r="N578" s="10">
        <v>1.03279555898864</v>
      </c>
      <c r="O578" s="10">
        <v>0</v>
      </c>
      <c r="P578" s="10">
        <v>0</v>
      </c>
      <c r="Q578" s="10">
        <v>0</v>
      </c>
      <c r="R578" s="10">
        <v>2.81492620219599</v>
      </c>
      <c r="S578" s="10">
        <v>0</v>
      </c>
      <c r="T578" s="10">
        <v>0</v>
      </c>
      <c r="U578" s="10">
        <v>1.03279555898864</v>
      </c>
      <c r="V578" s="10">
        <v>0</v>
      </c>
      <c r="W578" s="10">
        <v>0</v>
      </c>
      <c r="X578" s="10">
        <v>16.283207827171399</v>
      </c>
      <c r="Y578" s="10">
        <v>4.7809144373375698</v>
      </c>
      <c r="Z578" s="10">
        <v>23.557831576175001</v>
      </c>
      <c r="AA578" s="10">
        <v>2.9471535904520301</v>
      </c>
    </row>
    <row r="579" spans="1:27" s="10" customFormat="1" x14ac:dyDescent="0.25">
      <c r="A579" s="10" t="s">
        <v>36</v>
      </c>
      <c r="B579" s="10" t="s">
        <v>31</v>
      </c>
      <c r="C579" s="10" t="s">
        <v>82</v>
      </c>
      <c r="D579" s="10">
        <v>0</v>
      </c>
      <c r="E579" s="10">
        <v>0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4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12</v>
      </c>
      <c r="Y579" s="10">
        <v>4</v>
      </c>
      <c r="Z579" s="10">
        <v>60</v>
      </c>
      <c r="AA579" s="10">
        <v>0</v>
      </c>
    </row>
    <row r="580" spans="1:27" s="10" customFormat="1" x14ac:dyDescent="0.25">
      <c r="A580" s="10" t="s">
        <v>36</v>
      </c>
      <c r="B580" s="10" t="s">
        <v>31</v>
      </c>
      <c r="C580" s="10" t="s">
        <v>81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8</v>
      </c>
      <c r="Y580" s="10">
        <v>0</v>
      </c>
      <c r="Z580" s="10">
        <v>52</v>
      </c>
      <c r="AA580" s="10">
        <v>0</v>
      </c>
    </row>
    <row r="581" spans="1:27" s="10" customFormat="1" x14ac:dyDescent="0.25">
      <c r="A581" s="10" t="s">
        <v>36</v>
      </c>
      <c r="B581" s="10" t="s">
        <v>31</v>
      </c>
      <c r="C581" s="10" t="s">
        <v>80</v>
      </c>
      <c r="D581" s="10">
        <v>0</v>
      </c>
      <c r="E581" s="10">
        <v>0</v>
      </c>
      <c r="F581" s="10">
        <v>8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4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28</v>
      </c>
      <c r="Y581" s="10">
        <v>6</v>
      </c>
      <c r="Z581" s="10">
        <v>82</v>
      </c>
      <c r="AA581" s="10">
        <v>4</v>
      </c>
    </row>
    <row r="582" spans="1:27" x14ac:dyDescent="0.25">
      <c r="A582" s="9" t="s">
        <v>36</v>
      </c>
      <c r="B582" s="9" t="s">
        <v>32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8</v>
      </c>
      <c r="S582" s="9">
        <v>0</v>
      </c>
      <c r="T582" s="9">
        <v>0</v>
      </c>
      <c r="U582" s="9">
        <v>4</v>
      </c>
      <c r="V582" s="9">
        <v>0</v>
      </c>
      <c r="W582" s="9">
        <v>0</v>
      </c>
      <c r="X582" s="9">
        <v>20</v>
      </c>
      <c r="Y582" s="9">
        <v>4</v>
      </c>
      <c r="Z582" s="9">
        <v>60</v>
      </c>
      <c r="AA582" s="9">
        <v>4</v>
      </c>
    </row>
    <row r="583" spans="1:27" x14ac:dyDescent="0.25">
      <c r="A583" s="9" t="s">
        <v>36</v>
      </c>
      <c r="B583" s="9" t="s">
        <v>32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4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8</v>
      </c>
      <c r="Y583" s="9">
        <v>0</v>
      </c>
      <c r="Z583" s="9">
        <v>84</v>
      </c>
      <c r="AA583" s="9">
        <v>4</v>
      </c>
    </row>
    <row r="584" spans="1:27" x14ac:dyDescent="0.25">
      <c r="A584" s="9" t="s">
        <v>36</v>
      </c>
      <c r="B584" s="9" t="s">
        <v>32</v>
      </c>
      <c r="D584" s="9">
        <v>24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4</v>
      </c>
      <c r="P584" s="9">
        <v>0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  <c r="W584" s="9">
        <v>0</v>
      </c>
      <c r="X584" s="9">
        <v>56</v>
      </c>
      <c r="Y584" s="9">
        <v>0</v>
      </c>
      <c r="Z584" s="9">
        <v>12</v>
      </c>
      <c r="AA584" s="9">
        <v>4</v>
      </c>
    </row>
    <row r="585" spans="1:27" x14ac:dyDescent="0.25">
      <c r="A585" s="9" t="s">
        <v>36</v>
      </c>
      <c r="B585" s="9" t="s">
        <v>32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4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12</v>
      </c>
      <c r="Y585" s="9">
        <v>4</v>
      </c>
      <c r="Z585" s="9">
        <v>80</v>
      </c>
      <c r="AA585" s="9">
        <v>0</v>
      </c>
    </row>
    <row r="586" spans="1:27" x14ac:dyDescent="0.25">
      <c r="A586" s="9" t="s">
        <v>36</v>
      </c>
      <c r="B586" s="9" t="s">
        <v>32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36</v>
      </c>
      <c r="Y586" s="9">
        <v>0</v>
      </c>
      <c r="Z586" s="9">
        <v>64</v>
      </c>
      <c r="AA586" s="9">
        <v>0</v>
      </c>
    </row>
    <row r="587" spans="1:27" x14ac:dyDescent="0.25">
      <c r="A587" s="9" t="s">
        <v>36</v>
      </c>
      <c r="B587" s="9" t="s">
        <v>32</v>
      </c>
      <c r="D587" s="9">
        <v>0</v>
      </c>
      <c r="E587" s="9">
        <v>0</v>
      </c>
      <c r="F587" s="9">
        <v>8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4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4</v>
      </c>
      <c r="Y587" s="9">
        <v>4</v>
      </c>
      <c r="Z587" s="9">
        <v>80</v>
      </c>
      <c r="AA587" s="9">
        <v>0</v>
      </c>
    </row>
    <row r="588" spans="1:27" x14ac:dyDescent="0.25">
      <c r="A588" s="9" t="s">
        <v>36</v>
      </c>
      <c r="B588" s="9" t="s">
        <v>32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4</v>
      </c>
      <c r="O588" s="9">
        <v>0</v>
      </c>
      <c r="P588" s="9">
        <v>0</v>
      </c>
      <c r="Q588" s="9">
        <v>0</v>
      </c>
      <c r="R588" s="9">
        <v>4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16</v>
      </c>
      <c r="Y588" s="9">
        <v>8</v>
      </c>
      <c r="Z588" s="9">
        <v>68</v>
      </c>
      <c r="AA588" s="9">
        <v>0</v>
      </c>
    </row>
    <row r="589" spans="1:27" x14ac:dyDescent="0.25">
      <c r="A589" s="9" t="s">
        <v>36</v>
      </c>
      <c r="B589" s="9" t="s">
        <v>32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40</v>
      </c>
      <c r="Y589" s="9">
        <v>8</v>
      </c>
      <c r="Z589" s="9">
        <v>48</v>
      </c>
      <c r="AA589" s="9">
        <v>4</v>
      </c>
    </row>
    <row r="590" spans="1:27" x14ac:dyDescent="0.25">
      <c r="A590" s="9" t="s">
        <v>36</v>
      </c>
      <c r="B590" s="9" t="s">
        <v>32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4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12</v>
      </c>
      <c r="Y590" s="9">
        <v>4</v>
      </c>
      <c r="Z590" s="9">
        <v>76</v>
      </c>
      <c r="AA590" s="9">
        <v>4</v>
      </c>
    </row>
    <row r="591" spans="1:27" x14ac:dyDescent="0.25">
      <c r="A591" s="9" t="s">
        <v>36</v>
      </c>
      <c r="B591" s="9" t="s">
        <v>32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36</v>
      </c>
      <c r="Y591" s="9">
        <v>4</v>
      </c>
      <c r="Z591" s="9">
        <v>60</v>
      </c>
      <c r="AA591" s="9">
        <v>0</v>
      </c>
    </row>
    <row r="592" spans="1:27" x14ac:dyDescent="0.25">
      <c r="A592" s="9" t="s">
        <v>36</v>
      </c>
      <c r="B592" s="9" t="s">
        <v>32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9">
        <v>32</v>
      </c>
      <c r="Y592" s="9">
        <v>4</v>
      </c>
      <c r="Z592" s="9">
        <v>60</v>
      </c>
      <c r="AA592" s="9">
        <v>4</v>
      </c>
    </row>
    <row r="593" spans="1:27" x14ac:dyDescent="0.25">
      <c r="A593" s="9" t="s">
        <v>36</v>
      </c>
      <c r="B593" s="9" t="s">
        <v>32</v>
      </c>
      <c r="D593" s="9">
        <v>24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40</v>
      </c>
      <c r="Y593" s="9">
        <v>4</v>
      </c>
      <c r="Z593" s="9">
        <v>32</v>
      </c>
      <c r="AA593" s="9">
        <v>0</v>
      </c>
    </row>
    <row r="594" spans="1:27" x14ac:dyDescent="0.25">
      <c r="A594" s="9" t="s">
        <v>36</v>
      </c>
      <c r="B594" s="9" t="s">
        <v>32</v>
      </c>
      <c r="D594" s="9">
        <v>48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  <c r="W594" s="9">
        <v>0</v>
      </c>
      <c r="X594" s="9">
        <v>32</v>
      </c>
      <c r="Y594" s="9">
        <v>0</v>
      </c>
      <c r="Z594" s="9">
        <v>16</v>
      </c>
      <c r="AA594" s="9">
        <v>4</v>
      </c>
    </row>
    <row r="595" spans="1:27" x14ac:dyDescent="0.25">
      <c r="A595" s="9" t="s">
        <v>36</v>
      </c>
      <c r="B595" s="9" t="s">
        <v>32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4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8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52</v>
      </c>
      <c r="Y595" s="9">
        <v>0</v>
      </c>
      <c r="Z595" s="9">
        <v>36</v>
      </c>
      <c r="AA595" s="9">
        <v>0</v>
      </c>
    </row>
    <row r="596" spans="1:27" x14ac:dyDescent="0.25">
      <c r="A596" s="9" t="s">
        <v>36</v>
      </c>
      <c r="B596" s="9" t="s">
        <v>32</v>
      </c>
      <c r="D596" s="9">
        <v>0</v>
      </c>
      <c r="E596" s="9">
        <v>0</v>
      </c>
      <c r="F596" s="9">
        <v>0</v>
      </c>
      <c r="G596" s="9">
        <v>4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4</v>
      </c>
      <c r="V596" s="9">
        <v>0</v>
      </c>
      <c r="W596" s="9">
        <v>0</v>
      </c>
      <c r="X596" s="9">
        <v>0</v>
      </c>
      <c r="Y596" s="9">
        <v>0</v>
      </c>
      <c r="Z596" s="9">
        <v>92</v>
      </c>
      <c r="AA596" s="9">
        <v>0</v>
      </c>
    </row>
    <row r="597" spans="1:27" s="10" customFormat="1" x14ac:dyDescent="0.25">
      <c r="A597" s="10" t="s">
        <v>36</v>
      </c>
      <c r="B597" s="10" t="s">
        <v>32</v>
      </c>
      <c r="C597" s="10" t="s">
        <v>84</v>
      </c>
      <c r="D597" s="10">
        <v>6.4</v>
      </c>
      <c r="E597" s="10">
        <v>0</v>
      </c>
      <c r="F597" s="10">
        <v>0.53333333333333299</v>
      </c>
      <c r="G597" s="10">
        <v>0.266666666666667</v>
      </c>
      <c r="H597" s="10">
        <v>0</v>
      </c>
      <c r="I597" s="10">
        <v>0</v>
      </c>
      <c r="J597" s="10">
        <v>0</v>
      </c>
      <c r="K597" s="10">
        <v>0.266666666666667</v>
      </c>
      <c r="L597" s="10">
        <v>0.266666666666667</v>
      </c>
      <c r="M597" s="10">
        <v>0</v>
      </c>
      <c r="N597" s="10">
        <v>0.266666666666667</v>
      </c>
      <c r="O597" s="10">
        <v>0.53333333333333299</v>
      </c>
      <c r="P597" s="10">
        <v>0</v>
      </c>
      <c r="Q597" s="10">
        <v>0</v>
      </c>
      <c r="R597" s="10">
        <v>1.86666666666667</v>
      </c>
      <c r="S597" s="10">
        <v>0</v>
      </c>
      <c r="T597" s="10">
        <v>0</v>
      </c>
      <c r="U597" s="10">
        <v>0.53333333333333299</v>
      </c>
      <c r="V597" s="10">
        <v>0</v>
      </c>
      <c r="W597" s="10">
        <v>0</v>
      </c>
      <c r="X597" s="10">
        <v>26.4</v>
      </c>
      <c r="Y597" s="10">
        <v>2.93333333333333</v>
      </c>
      <c r="Z597" s="10">
        <v>57.866666666666703</v>
      </c>
      <c r="AA597" s="10">
        <v>1.86666666666667</v>
      </c>
    </row>
    <row r="598" spans="1:27" s="10" customFormat="1" x14ac:dyDescent="0.25">
      <c r="A598" s="10" t="s">
        <v>36</v>
      </c>
      <c r="B598" s="10" t="s">
        <v>32</v>
      </c>
      <c r="C598" s="10" t="s">
        <v>83</v>
      </c>
      <c r="D598" s="10">
        <v>14.246804152911899</v>
      </c>
      <c r="E598" s="10">
        <v>0</v>
      </c>
      <c r="F598" s="10">
        <v>2.0655911179772901</v>
      </c>
      <c r="G598" s="10">
        <v>1.03279555898864</v>
      </c>
      <c r="H598" s="10">
        <v>0</v>
      </c>
      <c r="I598" s="10">
        <v>0</v>
      </c>
      <c r="J598" s="10">
        <v>0</v>
      </c>
      <c r="K598" s="10">
        <v>1.03279555898864</v>
      </c>
      <c r="L598" s="10">
        <v>1.03279555898864</v>
      </c>
      <c r="M598" s="10">
        <v>0</v>
      </c>
      <c r="N598" s="10">
        <v>1.03279555898864</v>
      </c>
      <c r="O598" s="10">
        <v>1.4074631010979901</v>
      </c>
      <c r="P598" s="10">
        <v>0</v>
      </c>
      <c r="Q598" s="10">
        <v>0</v>
      </c>
      <c r="R598" s="10">
        <v>2.9728934118288302</v>
      </c>
      <c r="S598" s="10">
        <v>0</v>
      </c>
      <c r="T598" s="10">
        <v>0</v>
      </c>
      <c r="U598" s="10">
        <v>1.4074631010979901</v>
      </c>
      <c r="V598" s="10">
        <v>0</v>
      </c>
      <c r="W598" s="10">
        <v>0</v>
      </c>
      <c r="X598" s="10">
        <v>17.422481371574399</v>
      </c>
      <c r="Y598" s="10">
        <v>2.81492620219599</v>
      </c>
      <c r="Z598" s="10">
        <v>24.511999005346201</v>
      </c>
      <c r="AA598" s="10">
        <v>2.0655911179772901</v>
      </c>
    </row>
    <row r="599" spans="1:27" s="10" customFormat="1" x14ac:dyDescent="0.25">
      <c r="A599" s="10" t="s">
        <v>36</v>
      </c>
      <c r="B599" s="10" t="s">
        <v>32</v>
      </c>
      <c r="C599" s="10" t="s">
        <v>82</v>
      </c>
      <c r="D599" s="10">
        <v>0</v>
      </c>
      <c r="E599" s="10">
        <v>0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32</v>
      </c>
      <c r="Y599" s="10">
        <v>4</v>
      </c>
      <c r="Z599" s="10">
        <v>60</v>
      </c>
      <c r="AA599" s="10">
        <v>0</v>
      </c>
    </row>
    <row r="600" spans="1:27" s="10" customFormat="1" x14ac:dyDescent="0.25">
      <c r="A600" s="10" t="s">
        <v>36</v>
      </c>
      <c r="B600" s="10" t="s">
        <v>32</v>
      </c>
      <c r="C600" s="10" t="s">
        <v>81</v>
      </c>
      <c r="D600" s="10">
        <v>0</v>
      </c>
      <c r="E600" s="10">
        <v>0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12</v>
      </c>
      <c r="Y600" s="10">
        <v>0</v>
      </c>
      <c r="Z600" s="10">
        <v>42</v>
      </c>
      <c r="AA600" s="10">
        <v>0</v>
      </c>
    </row>
    <row r="601" spans="1:27" s="10" customFormat="1" x14ac:dyDescent="0.25">
      <c r="A601" s="10" t="s">
        <v>36</v>
      </c>
      <c r="B601" s="10" t="s">
        <v>32</v>
      </c>
      <c r="C601" s="10" t="s">
        <v>80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4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38</v>
      </c>
      <c r="Y601" s="10">
        <v>4</v>
      </c>
      <c r="Z601" s="10">
        <v>78</v>
      </c>
      <c r="AA601" s="10">
        <v>4</v>
      </c>
    </row>
    <row r="602" spans="1:27" x14ac:dyDescent="0.25">
      <c r="A602" s="9" t="s">
        <v>37</v>
      </c>
      <c r="B602" s="9" t="s">
        <v>27</v>
      </c>
      <c r="D602" s="9">
        <v>0</v>
      </c>
      <c r="E602" s="9">
        <v>0</v>
      </c>
      <c r="F602" s="9">
        <v>28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4</v>
      </c>
      <c r="Y602" s="9">
        <v>0</v>
      </c>
      <c r="Z602" s="9">
        <v>68</v>
      </c>
      <c r="AA602" s="9">
        <v>0</v>
      </c>
    </row>
    <row r="603" spans="1:27" x14ac:dyDescent="0.25">
      <c r="A603" s="9" t="s">
        <v>37</v>
      </c>
      <c r="B603" s="9" t="s">
        <v>27</v>
      </c>
      <c r="D603" s="9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4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16</v>
      </c>
      <c r="Z603" s="9">
        <v>80</v>
      </c>
      <c r="AA603" s="9">
        <v>0</v>
      </c>
    </row>
    <row r="604" spans="1:27" x14ac:dyDescent="0.25">
      <c r="A604" s="9" t="s">
        <v>37</v>
      </c>
      <c r="B604" s="9" t="s">
        <v>27</v>
      </c>
      <c r="D604" s="9">
        <v>0</v>
      </c>
      <c r="E604" s="9">
        <v>0</v>
      </c>
      <c r="F604" s="9">
        <v>32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0</v>
      </c>
      <c r="X604" s="9">
        <v>4</v>
      </c>
      <c r="Y604" s="9">
        <v>0</v>
      </c>
      <c r="Z604" s="9">
        <v>60</v>
      </c>
      <c r="AA604" s="9">
        <v>4</v>
      </c>
    </row>
    <row r="605" spans="1:27" x14ac:dyDescent="0.25">
      <c r="A605" s="9" t="s">
        <v>37</v>
      </c>
      <c r="B605" s="9" t="s">
        <v>27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92</v>
      </c>
      <c r="AA605" s="9">
        <v>8</v>
      </c>
    </row>
    <row r="606" spans="1:27" x14ac:dyDescent="0.25">
      <c r="A606" s="9" t="s">
        <v>37</v>
      </c>
      <c r="B606" s="9" t="s">
        <v>27</v>
      </c>
      <c r="D606" s="9">
        <v>0</v>
      </c>
      <c r="E606" s="9">
        <v>0</v>
      </c>
      <c r="F606" s="9">
        <v>16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0</v>
      </c>
      <c r="X606" s="9">
        <v>4</v>
      </c>
      <c r="Y606" s="9">
        <v>4</v>
      </c>
      <c r="Z606" s="9">
        <v>72</v>
      </c>
      <c r="AA606" s="9">
        <v>4</v>
      </c>
    </row>
    <row r="607" spans="1:27" x14ac:dyDescent="0.25">
      <c r="A607" s="9" t="s">
        <v>37</v>
      </c>
      <c r="B607" s="9" t="s">
        <v>27</v>
      </c>
      <c r="D607" s="9">
        <v>0</v>
      </c>
      <c r="E607" s="9">
        <v>0</v>
      </c>
      <c r="F607" s="9">
        <v>20</v>
      </c>
      <c r="G607" s="9">
        <v>0</v>
      </c>
      <c r="H607" s="9">
        <v>0</v>
      </c>
      <c r="I607" s="9">
        <v>0</v>
      </c>
      <c r="J607" s="9">
        <v>0</v>
      </c>
      <c r="K607" s="9">
        <v>4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4</v>
      </c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9">
        <v>28</v>
      </c>
      <c r="Y607" s="9">
        <v>4</v>
      </c>
      <c r="Z607" s="9">
        <v>32</v>
      </c>
      <c r="AA607" s="9">
        <v>8</v>
      </c>
    </row>
    <row r="608" spans="1:27" x14ac:dyDescent="0.25">
      <c r="A608" s="9" t="s">
        <v>37</v>
      </c>
      <c r="B608" s="9" t="s">
        <v>27</v>
      </c>
      <c r="D608" s="9">
        <v>0</v>
      </c>
      <c r="E608" s="9">
        <v>0</v>
      </c>
      <c r="F608" s="9">
        <v>28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9">
        <v>12</v>
      </c>
      <c r="U608" s="9">
        <v>0</v>
      </c>
      <c r="V608" s="9">
        <v>0</v>
      </c>
      <c r="W608" s="9">
        <v>0</v>
      </c>
      <c r="X608" s="9">
        <v>4</v>
      </c>
      <c r="Y608" s="9">
        <v>4</v>
      </c>
      <c r="Z608" s="9">
        <v>52</v>
      </c>
      <c r="AA608" s="9">
        <v>0</v>
      </c>
    </row>
    <row r="609" spans="1:27" x14ac:dyDescent="0.25">
      <c r="A609" s="9" t="s">
        <v>37</v>
      </c>
      <c r="B609" s="9" t="s">
        <v>27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9">
        <v>8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12</v>
      </c>
      <c r="Z609" s="9">
        <v>80</v>
      </c>
      <c r="AA609" s="9">
        <v>0</v>
      </c>
    </row>
    <row r="610" spans="1:27" x14ac:dyDescent="0.25">
      <c r="A610" s="9" t="s">
        <v>37</v>
      </c>
      <c r="B610" s="9" t="s">
        <v>27</v>
      </c>
      <c r="D610" s="9">
        <v>0</v>
      </c>
      <c r="E610" s="9">
        <v>0</v>
      </c>
      <c r="F610" s="9">
        <v>12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4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4</v>
      </c>
      <c r="Z610" s="9">
        <v>68</v>
      </c>
      <c r="AA610" s="9">
        <v>12</v>
      </c>
    </row>
    <row r="611" spans="1:27" x14ac:dyDescent="0.25">
      <c r="A611" s="9" t="s">
        <v>37</v>
      </c>
      <c r="B611" s="9" t="s">
        <v>27</v>
      </c>
      <c r="D611" s="9">
        <v>0</v>
      </c>
      <c r="E611" s="9">
        <v>0</v>
      </c>
      <c r="F611" s="9">
        <v>24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20</v>
      </c>
      <c r="O611" s="9">
        <v>4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48</v>
      </c>
      <c r="AA611" s="9">
        <v>4</v>
      </c>
    </row>
    <row r="612" spans="1:27" x14ac:dyDescent="0.25">
      <c r="A612" s="9" t="s">
        <v>37</v>
      </c>
      <c r="B612" s="9" t="s">
        <v>27</v>
      </c>
      <c r="D612" s="9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4</v>
      </c>
      <c r="O612" s="9">
        <v>4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12</v>
      </c>
      <c r="Y612" s="9">
        <v>0</v>
      </c>
      <c r="Z612" s="9">
        <v>76</v>
      </c>
      <c r="AA612" s="9">
        <v>4</v>
      </c>
    </row>
    <row r="613" spans="1:27" x14ac:dyDescent="0.25">
      <c r="A613" s="9" t="s">
        <v>37</v>
      </c>
      <c r="B613" s="9" t="s">
        <v>27</v>
      </c>
      <c r="D613" s="9">
        <v>0</v>
      </c>
      <c r="E613" s="9">
        <v>0</v>
      </c>
      <c r="F613" s="9">
        <v>12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84</v>
      </c>
      <c r="AA613" s="9">
        <v>4</v>
      </c>
    </row>
    <row r="614" spans="1:27" x14ac:dyDescent="0.25">
      <c r="A614" s="9" t="s">
        <v>37</v>
      </c>
      <c r="B614" s="9" t="s">
        <v>27</v>
      </c>
      <c r="D614" s="9">
        <v>0</v>
      </c>
      <c r="E614" s="9">
        <v>0</v>
      </c>
      <c r="F614" s="9">
        <v>16</v>
      </c>
      <c r="G614" s="9">
        <v>0</v>
      </c>
      <c r="H614" s="9">
        <v>0</v>
      </c>
      <c r="I614" s="9">
        <v>0</v>
      </c>
      <c r="J614" s="9">
        <v>0</v>
      </c>
      <c r="K614" s="9">
        <v>4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9">
        <v>0</v>
      </c>
      <c r="X614" s="9">
        <v>16</v>
      </c>
      <c r="Y614" s="9">
        <v>0</v>
      </c>
      <c r="Z614" s="9">
        <v>64</v>
      </c>
      <c r="AA614" s="9">
        <v>0</v>
      </c>
    </row>
    <row r="615" spans="1:27" x14ac:dyDescent="0.25">
      <c r="A615" s="9" t="s">
        <v>37</v>
      </c>
      <c r="B615" s="9" t="s">
        <v>27</v>
      </c>
      <c r="D615" s="9">
        <v>0</v>
      </c>
      <c r="E615" s="9">
        <v>0</v>
      </c>
      <c r="F615" s="9">
        <v>20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12</v>
      </c>
      <c r="Y615" s="9">
        <v>0</v>
      </c>
      <c r="Z615" s="9">
        <v>64</v>
      </c>
      <c r="AA615" s="9">
        <v>4</v>
      </c>
    </row>
    <row r="616" spans="1:27" x14ac:dyDescent="0.25">
      <c r="A616" s="9" t="s">
        <v>37</v>
      </c>
      <c r="B616" s="9" t="s">
        <v>27</v>
      </c>
      <c r="D616" s="9">
        <v>0</v>
      </c>
      <c r="E616" s="9">
        <v>0</v>
      </c>
      <c r="F616" s="9">
        <v>28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4</v>
      </c>
      <c r="V616" s="9">
        <v>0</v>
      </c>
      <c r="W616" s="9">
        <v>0</v>
      </c>
      <c r="X616" s="9">
        <v>0</v>
      </c>
      <c r="Y616" s="9">
        <v>0</v>
      </c>
      <c r="Z616" s="9">
        <v>64</v>
      </c>
      <c r="AA616" s="9">
        <v>4</v>
      </c>
    </row>
    <row r="617" spans="1:27" s="10" customFormat="1" x14ac:dyDescent="0.25">
      <c r="A617" s="10" t="s">
        <v>37</v>
      </c>
      <c r="B617" s="10" t="s">
        <v>27</v>
      </c>
      <c r="C617" s="10" t="s">
        <v>84</v>
      </c>
      <c r="D617" s="10">
        <v>0</v>
      </c>
      <c r="E617" s="10">
        <v>0</v>
      </c>
      <c r="F617" s="10">
        <v>15.733333333333301</v>
      </c>
      <c r="G617" s="10">
        <v>0</v>
      </c>
      <c r="H617" s="10">
        <v>0</v>
      </c>
      <c r="I617" s="10">
        <v>0</v>
      </c>
      <c r="J617" s="10">
        <v>0</v>
      </c>
      <c r="K617" s="10">
        <v>0.53333333333333299</v>
      </c>
      <c r="L617" s="10">
        <v>0.266666666666667</v>
      </c>
      <c r="M617" s="10">
        <v>0</v>
      </c>
      <c r="N617" s="10">
        <v>1.6</v>
      </c>
      <c r="O617" s="10">
        <v>1.3333333333333299</v>
      </c>
      <c r="P617" s="10">
        <v>0</v>
      </c>
      <c r="Q617" s="10">
        <v>0</v>
      </c>
      <c r="R617" s="10">
        <v>0.266666666666667</v>
      </c>
      <c r="S617" s="10">
        <v>0</v>
      </c>
      <c r="T617" s="10">
        <v>0.8</v>
      </c>
      <c r="U617" s="10">
        <v>0.266666666666667</v>
      </c>
      <c r="V617" s="10">
        <v>0</v>
      </c>
      <c r="W617" s="10">
        <v>0</v>
      </c>
      <c r="X617" s="10">
        <v>5.6</v>
      </c>
      <c r="Y617" s="10">
        <v>2.93333333333333</v>
      </c>
      <c r="Z617" s="10">
        <v>66.933333333333294</v>
      </c>
      <c r="AA617" s="10">
        <v>3.7333333333333298</v>
      </c>
    </row>
    <row r="618" spans="1:27" s="10" customFormat="1" x14ac:dyDescent="0.25">
      <c r="A618" s="10" t="s">
        <v>37</v>
      </c>
      <c r="B618" s="10" t="s">
        <v>27</v>
      </c>
      <c r="C618" s="10" t="s">
        <v>83</v>
      </c>
      <c r="D618" s="10">
        <v>0</v>
      </c>
      <c r="E618" s="10">
        <v>0</v>
      </c>
      <c r="F618" s="10">
        <v>11.460906637451499</v>
      </c>
      <c r="G618" s="10">
        <v>0</v>
      </c>
      <c r="H618" s="10">
        <v>0</v>
      </c>
      <c r="I618" s="10">
        <v>0</v>
      </c>
      <c r="J618" s="10">
        <v>0</v>
      </c>
      <c r="K618" s="10">
        <v>1.4074631010979901</v>
      </c>
      <c r="L618" s="10">
        <v>1.03279555898864</v>
      </c>
      <c r="M618" s="10">
        <v>0</v>
      </c>
      <c r="N618" s="10">
        <v>5.1934024080008099</v>
      </c>
      <c r="O618" s="10">
        <v>2.4688535993934702</v>
      </c>
      <c r="P618" s="10">
        <v>0</v>
      </c>
      <c r="Q618" s="10">
        <v>0</v>
      </c>
      <c r="R618" s="10">
        <v>1.03279555898864</v>
      </c>
      <c r="S618" s="10">
        <v>0</v>
      </c>
      <c r="T618" s="10">
        <v>3.0983866769659301</v>
      </c>
      <c r="U618" s="10">
        <v>1.03279555898864</v>
      </c>
      <c r="V618" s="10">
        <v>0</v>
      </c>
      <c r="W618" s="10">
        <v>0</v>
      </c>
      <c r="X618" s="10">
        <v>8.1134808453937595</v>
      </c>
      <c r="Y618" s="10">
        <v>4.8911971462832602</v>
      </c>
      <c r="Z618" s="10">
        <v>15.229044931439701</v>
      </c>
      <c r="AA618" s="10">
        <v>3.53486040675415</v>
      </c>
    </row>
    <row r="619" spans="1:27" s="10" customFormat="1" x14ac:dyDescent="0.25">
      <c r="A619" s="10" t="s">
        <v>37</v>
      </c>
      <c r="B619" s="10" t="s">
        <v>27</v>
      </c>
      <c r="C619" s="10" t="s">
        <v>82</v>
      </c>
      <c r="D619" s="10">
        <v>0</v>
      </c>
      <c r="E619" s="10">
        <v>0</v>
      </c>
      <c r="F619" s="10">
        <v>16</v>
      </c>
      <c r="G619" s="10">
        <v>0</v>
      </c>
      <c r="H619" s="10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4</v>
      </c>
      <c r="Y619" s="10">
        <v>0</v>
      </c>
      <c r="Z619" s="10">
        <v>68</v>
      </c>
      <c r="AA619" s="10">
        <v>4</v>
      </c>
    </row>
    <row r="620" spans="1:27" s="10" customFormat="1" x14ac:dyDescent="0.25">
      <c r="A620" s="10" t="s">
        <v>37</v>
      </c>
      <c r="B620" s="10" t="s">
        <v>27</v>
      </c>
      <c r="C620" s="10" t="s">
        <v>81</v>
      </c>
      <c r="D620" s="10">
        <v>0</v>
      </c>
      <c r="E620" s="10">
        <v>0</v>
      </c>
      <c r="F620" s="10">
        <v>6</v>
      </c>
      <c r="G620" s="10">
        <v>0</v>
      </c>
      <c r="H620" s="10">
        <v>0</v>
      </c>
      <c r="I620" s="10">
        <v>0</v>
      </c>
      <c r="J620" s="10">
        <v>0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62</v>
      </c>
      <c r="AA620" s="10">
        <v>0</v>
      </c>
    </row>
    <row r="621" spans="1:27" s="10" customFormat="1" x14ac:dyDescent="0.25">
      <c r="A621" s="10" t="s">
        <v>37</v>
      </c>
      <c r="B621" s="10" t="s">
        <v>27</v>
      </c>
      <c r="C621" s="10" t="s">
        <v>80</v>
      </c>
      <c r="D621" s="10">
        <v>0</v>
      </c>
      <c r="E621" s="10">
        <v>0</v>
      </c>
      <c r="F621" s="10">
        <v>26</v>
      </c>
      <c r="G621" s="10">
        <v>0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2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8</v>
      </c>
      <c r="Y621" s="10">
        <v>4</v>
      </c>
      <c r="Z621" s="10">
        <v>78</v>
      </c>
      <c r="AA621" s="10">
        <v>4</v>
      </c>
    </row>
    <row r="622" spans="1:27" x14ac:dyDescent="0.25">
      <c r="A622" s="9" t="s">
        <v>37</v>
      </c>
      <c r="B622" s="9" t="s">
        <v>28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24</v>
      </c>
      <c r="Y622" s="9">
        <v>12</v>
      </c>
      <c r="Z622" s="9">
        <v>56</v>
      </c>
      <c r="AA622" s="9">
        <v>8</v>
      </c>
    </row>
    <row r="623" spans="1:27" x14ac:dyDescent="0.25">
      <c r="A623" s="9" t="s">
        <v>37</v>
      </c>
      <c r="B623" s="9" t="s">
        <v>28</v>
      </c>
      <c r="D623" s="9">
        <v>0</v>
      </c>
      <c r="E623" s="9">
        <v>0</v>
      </c>
      <c r="F623" s="9">
        <v>32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4</v>
      </c>
      <c r="Y623" s="9">
        <v>4</v>
      </c>
      <c r="Z623" s="9">
        <v>60</v>
      </c>
      <c r="AA623" s="9">
        <v>0</v>
      </c>
    </row>
    <row r="624" spans="1:27" x14ac:dyDescent="0.25">
      <c r="A624" s="9" t="s">
        <v>37</v>
      </c>
      <c r="B624" s="9" t="s">
        <v>28</v>
      </c>
      <c r="D624" s="9">
        <v>0</v>
      </c>
      <c r="E624" s="9">
        <v>0</v>
      </c>
      <c r="F624" s="9">
        <v>12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4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28</v>
      </c>
      <c r="Y624" s="9">
        <v>4</v>
      </c>
      <c r="Z624" s="9">
        <v>44</v>
      </c>
      <c r="AA624" s="9">
        <v>8</v>
      </c>
    </row>
    <row r="625" spans="1:27" x14ac:dyDescent="0.25">
      <c r="A625" s="9" t="s">
        <v>37</v>
      </c>
      <c r="B625" s="9" t="s">
        <v>28</v>
      </c>
      <c r="D625" s="9">
        <v>0</v>
      </c>
      <c r="E625" s="9">
        <v>0</v>
      </c>
      <c r="F625" s="9">
        <v>12</v>
      </c>
      <c r="G625" s="9">
        <v>0</v>
      </c>
      <c r="H625" s="9">
        <v>0</v>
      </c>
      <c r="I625" s="9">
        <v>4</v>
      </c>
      <c r="J625" s="9">
        <v>4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4</v>
      </c>
      <c r="V625" s="9">
        <v>0</v>
      </c>
      <c r="W625" s="9">
        <v>0</v>
      </c>
      <c r="X625" s="9">
        <v>16</v>
      </c>
      <c r="Y625" s="9">
        <v>8</v>
      </c>
      <c r="Z625" s="9">
        <v>52</v>
      </c>
      <c r="AA625" s="9">
        <v>0</v>
      </c>
    </row>
    <row r="626" spans="1:27" x14ac:dyDescent="0.25">
      <c r="A626" s="9" t="s">
        <v>37</v>
      </c>
      <c r="B626" s="9" t="s">
        <v>28</v>
      </c>
      <c r="D626" s="9">
        <v>0</v>
      </c>
      <c r="E626" s="9">
        <v>0</v>
      </c>
      <c r="F626" s="9">
        <v>24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28</v>
      </c>
      <c r="Y626" s="9">
        <v>4</v>
      </c>
      <c r="Z626" s="9">
        <v>44</v>
      </c>
      <c r="AA626" s="9">
        <v>0</v>
      </c>
    </row>
    <row r="627" spans="1:27" x14ac:dyDescent="0.25">
      <c r="A627" s="9" t="s">
        <v>37</v>
      </c>
      <c r="B627" s="9" t="s">
        <v>28</v>
      </c>
      <c r="D627" s="9">
        <v>0</v>
      </c>
      <c r="E627" s="9">
        <v>0</v>
      </c>
      <c r="F627" s="9">
        <v>40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0</v>
      </c>
      <c r="X627" s="9">
        <v>4</v>
      </c>
      <c r="Y627" s="9">
        <v>0</v>
      </c>
      <c r="Z627" s="9">
        <v>52</v>
      </c>
      <c r="AA627" s="9">
        <v>4</v>
      </c>
    </row>
    <row r="628" spans="1:27" x14ac:dyDescent="0.25">
      <c r="A628" s="9" t="s">
        <v>37</v>
      </c>
      <c r="B628" s="9" t="s">
        <v>28</v>
      </c>
      <c r="D628" s="9">
        <v>0</v>
      </c>
      <c r="E628" s="9">
        <v>0</v>
      </c>
      <c r="F628" s="9">
        <v>28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8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56</v>
      </c>
      <c r="AA628" s="9">
        <v>8</v>
      </c>
    </row>
    <row r="629" spans="1:27" x14ac:dyDescent="0.25">
      <c r="A629" s="9" t="s">
        <v>37</v>
      </c>
      <c r="B629" s="9" t="s">
        <v>28</v>
      </c>
      <c r="D629" s="9">
        <v>0</v>
      </c>
      <c r="E629" s="9">
        <v>0</v>
      </c>
      <c r="F629" s="9">
        <v>16</v>
      </c>
      <c r="G629" s="9">
        <v>0</v>
      </c>
      <c r="H629" s="9">
        <v>0</v>
      </c>
      <c r="I629" s="9">
        <v>4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72</v>
      </c>
      <c r="AA629" s="9">
        <v>8</v>
      </c>
    </row>
    <row r="630" spans="1:27" x14ac:dyDescent="0.25">
      <c r="A630" s="9" t="s">
        <v>37</v>
      </c>
      <c r="B630" s="9" t="s">
        <v>28</v>
      </c>
      <c r="D630" s="9">
        <v>0</v>
      </c>
      <c r="E630" s="9">
        <v>0</v>
      </c>
      <c r="F630" s="9">
        <v>12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8</v>
      </c>
      <c r="Y630" s="9">
        <v>4</v>
      </c>
      <c r="Z630" s="9">
        <v>72</v>
      </c>
      <c r="AA630" s="9">
        <v>4</v>
      </c>
    </row>
    <row r="631" spans="1:27" x14ac:dyDescent="0.25">
      <c r="A631" s="9" t="s">
        <v>37</v>
      </c>
      <c r="B631" s="9" t="s">
        <v>28</v>
      </c>
      <c r="D631" s="9">
        <v>0</v>
      </c>
      <c r="E631" s="9">
        <v>0</v>
      </c>
      <c r="F631" s="9">
        <v>36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4</v>
      </c>
      <c r="Y631" s="9">
        <v>4</v>
      </c>
      <c r="Z631" s="9">
        <v>48</v>
      </c>
      <c r="AA631" s="9">
        <v>8</v>
      </c>
    </row>
    <row r="632" spans="1:27" x14ac:dyDescent="0.25">
      <c r="A632" s="9" t="s">
        <v>37</v>
      </c>
      <c r="B632" s="9" t="s">
        <v>28</v>
      </c>
      <c r="D632" s="9">
        <v>0</v>
      </c>
      <c r="E632" s="9">
        <v>0</v>
      </c>
      <c r="F632" s="9">
        <v>24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24</v>
      </c>
      <c r="Y632" s="9">
        <v>4</v>
      </c>
      <c r="Z632" s="9">
        <v>40</v>
      </c>
      <c r="AA632" s="9">
        <v>8</v>
      </c>
    </row>
    <row r="633" spans="1:27" x14ac:dyDescent="0.25">
      <c r="A633" s="9" t="s">
        <v>37</v>
      </c>
      <c r="B633" s="9" t="s">
        <v>28</v>
      </c>
      <c r="D633" s="9">
        <v>0</v>
      </c>
      <c r="E633" s="9">
        <v>0</v>
      </c>
      <c r="F633" s="9">
        <v>24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4</v>
      </c>
      <c r="Y633" s="9">
        <v>0</v>
      </c>
      <c r="Z633" s="9">
        <v>72</v>
      </c>
      <c r="AA633" s="9">
        <v>0</v>
      </c>
    </row>
    <row r="634" spans="1:27" x14ac:dyDescent="0.25">
      <c r="A634" s="9" t="s">
        <v>37</v>
      </c>
      <c r="B634" s="9" t="s">
        <v>28</v>
      </c>
      <c r="D634" s="9">
        <v>0</v>
      </c>
      <c r="E634" s="9">
        <v>0</v>
      </c>
      <c r="F634" s="9">
        <v>12</v>
      </c>
      <c r="G634" s="9">
        <v>0</v>
      </c>
      <c r="H634" s="9">
        <v>0</v>
      </c>
      <c r="I634" s="9">
        <v>0</v>
      </c>
      <c r="J634" s="9">
        <v>0</v>
      </c>
      <c r="K634" s="9">
        <v>4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9">
        <v>12</v>
      </c>
      <c r="Y634" s="9">
        <v>0</v>
      </c>
      <c r="Z634" s="9">
        <v>64</v>
      </c>
      <c r="AA634" s="9">
        <v>8</v>
      </c>
    </row>
    <row r="635" spans="1:27" x14ac:dyDescent="0.25">
      <c r="A635" s="9" t="s">
        <v>37</v>
      </c>
      <c r="B635" s="9" t="s">
        <v>28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0</v>
      </c>
      <c r="X635" s="9">
        <v>32</v>
      </c>
      <c r="Y635" s="9">
        <v>4</v>
      </c>
      <c r="Z635" s="9">
        <v>64</v>
      </c>
      <c r="AA635" s="9">
        <v>0</v>
      </c>
    </row>
    <row r="636" spans="1:27" x14ac:dyDescent="0.25">
      <c r="A636" s="9" t="s">
        <v>37</v>
      </c>
      <c r="B636" s="9" t="s">
        <v>28</v>
      </c>
      <c r="D636" s="9">
        <v>0</v>
      </c>
      <c r="E636" s="9">
        <v>0</v>
      </c>
      <c r="F636" s="9">
        <v>16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9">
        <v>12</v>
      </c>
      <c r="Y636" s="9">
        <v>0</v>
      </c>
      <c r="Z636" s="9">
        <v>68</v>
      </c>
      <c r="AA636" s="9">
        <v>4</v>
      </c>
    </row>
    <row r="637" spans="1:27" s="10" customFormat="1" x14ac:dyDescent="0.25">
      <c r="A637" s="10" t="s">
        <v>37</v>
      </c>
      <c r="B637" s="10" t="s">
        <v>28</v>
      </c>
      <c r="C637" s="10" t="s">
        <v>84</v>
      </c>
      <c r="D637" s="10">
        <v>0</v>
      </c>
      <c r="E637" s="10">
        <v>0</v>
      </c>
      <c r="F637" s="10">
        <v>19.2</v>
      </c>
      <c r="G637" s="10">
        <v>0</v>
      </c>
      <c r="H637" s="10">
        <v>0</v>
      </c>
      <c r="I637" s="10">
        <v>0.53333333333333299</v>
      </c>
      <c r="J637" s="10">
        <v>0.266666666666667</v>
      </c>
      <c r="K637" s="10">
        <v>0.266666666666667</v>
      </c>
      <c r="L637" s="10">
        <v>0</v>
      </c>
      <c r="M637" s="10">
        <v>0</v>
      </c>
      <c r="N637" s="10">
        <v>0.266666666666667</v>
      </c>
      <c r="O637" s="10">
        <v>0</v>
      </c>
      <c r="P637" s="10">
        <v>0</v>
      </c>
      <c r="Q637" s="10">
        <v>0</v>
      </c>
      <c r="R637" s="10">
        <v>0.53333333333333299</v>
      </c>
      <c r="S637" s="10">
        <v>0</v>
      </c>
      <c r="T637" s="10">
        <v>0</v>
      </c>
      <c r="U637" s="10">
        <v>0.266666666666667</v>
      </c>
      <c r="V637" s="10">
        <v>0</v>
      </c>
      <c r="W637" s="10">
        <v>0</v>
      </c>
      <c r="X637" s="10">
        <v>13.3333333333333</v>
      </c>
      <c r="Y637" s="10">
        <v>3.2</v>
      </c>
      <c r="Z637" s="10">
        <v>57.6</v>
      </c>
      <c r="AA637" s="10">
        <v>4.5333333333333297</v>
      </c>
    </row>
    <row r="638" spans="1:27" s="10" customFormat="1" x14ac:dyDescent="0.25">
      <c r="A638" s="10" t="s">
        <v>37</v>
      </c>
      <c r="B638" s="10" t="s">
        <v>28</v>
      </c>
      <c r="C638" s="10" t="s">
        <v>83</v>
      </c>
      <c r="D638" s="10">
        <v>0</v>
      </c>
      <c r="E638" s="10">
        <v>0</v>
      </c>
      <c r="F638" s="10">
        <v>11.923566101273099</v>
      </c>
      <c r="G638" s="10">
        <v>0</v>
      </c>
      <c r="H638" s="10">
        <v>0</v>
      </c>
      <c r="I638" s="10">
        <v>1.4074631010979901</v>
      </c>
      <c r="J638" s="10">
        <v>1.03279555898864</v>
      </c>
      <c r="K638" s="10">
        <v>1.03279555898864</v>
      </c>
      <c r="L638" s="10">
        <v>0</v>
      </c>
      <c r="M638" s="10">
        <v>0</v>
      </c>
      <c r="N638" s="10">
        <v>1.03279555898864</v>
      </c>
      <c r="O638" s="10">
        <v>0</v>
      </c>
      <c r="P638" s="10">
        <v>0</v>
      </c>
      <c r="Q638" s="10">
        <v>0</v>
      </c>
      <c r="R638" s="10">
        <v>2.0655911179772901</v>
      </c>
      <c r="S638" s="10">
        <v>0</v>
      </c>
      <c r="T638" s="10">
        <v>0</v>
      </c>
      <c r="U638" s="10">
        <v>1.03279555898864</v>
      </c>
      <c r="V638" s="10">
        <v>0</v>
      </c>
      <c r="W638" s="10">
        <v>0</v>
      </c>
      <c r="X638" s="10">
        <v>11.1782100960924</v>
      </c>
      <c r="Y638" s="10">
        <v>3.4475664294853399</v>
      </c>
      <c r="Z638" s="10">
        <v>10.8811764069884</v>
      </c>
      <c r="AA638" s="10">
        <v>3.6619016657365102</v>
      </c>
    </row>
    <row r="639" spans="1:27" s="10" customFormat="1" x14ac:dyDescent="0.25">
      <c r="A639" s="10" t="s">
        <v>37</v>
      </c>
      <c r="B639" s="10" t="s">
        <v>28</v>
      </c>
      <c r="C639" s="10" t="s">
        <v>82</v>
      </c>
      <c r="D639" s="10">
        <v>0</v>
      </c>
      <c r="E639" s="10">
        <v>0</v>
      </c>
      <c r="F639" s="10">
        <v>16</v>
      </c>
      <c r="G639" s="10">
        <v>0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12</v>
      </c>
      <c r="Y639" s="10">
        <v>4</v>
      </c>
      <c r="Z639" s="10">
        <v>56</v>
      </c>
      <c r="AA639" s="10">
        <v>4</v>
      </c>
    </row>
    <row r="640" spans="1:27" s="10" customFormat="1" x14ac:dyDescent="0.25">
      <c r="A640" s="10" t="s">
        <v>37</v>
      </c>
      <c r="B640" s="10" t="s">
        <v>28</v>
      </c>
      <c r="C640" s="10" t="s">
        <v>81</v>
      </c>
      <c r="D640" s="10">
        <v>0</v>
      </c>
      <c r="E640" s="10">
        <v>0</v>
      </c>
      <c r="F640" s="10">
        <v>12</v>
      </c>
      <c r="G640" s="10">
        <v>0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4</v>
      </c>
      <c r="Y640" s="10">
        <v>0</v>
      </c>
      <c r="Z640" s="10">
        <v>50</v>
      </c>
      <c r="AA640" s="10">
        <v>0</v>
      </c>
    </row>
    <row r="641" spans="1:27" s="10" customFormat="1" x14ac:dyDescent="0.25">
      <c r="A641" s="10" t="s">
        <v>37</v>
      </c>
      <c r="B641" s="10" t="s">
        <v>28</v>
      </c>
      <c r="C641" s="10" t="s">
        <v>80</v>
      </c>
      <c r="D641" s="10">
        <v>0</v>
      </c>
      <c r="E641" s="10">
        <v>0</v>
      </c>
      <c r="F641" s="10">
        <v>26</v>
      </c>
      <c r="G641" s="10">
        <v>0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24</v>
      </c>
      <c r="Y641" s="10">
        <v>4</v>
      </c>
      <c r="Z641" s="10">
        <v>66</v>
      </c>
      <c r="AA641" s="10">
        <v>8</v>
      </c>
    </row>
    <row r="642" spans="1:27" x14ac:dyDescent="0.25">
      <c r="A642" s="9" t="s">
        <v>37</v>
      </c>
      <c r="B642" s="9" t="s">
        <v>29</v>
      </c>
      <c r="D642" s="9">
        <v>0</v>
      </c>
      <c r="E642" s="9">
        <v>0</v>
      </c>
      <c r="F642" s="9">
        <v>24</v>
      </c>
      <c r="G642" s="9">
        <v>0</v>
      </c>
      <c r="H642" s="9">
        <v>0</v>
      </c>
      <c r="I642" s="9">
        <v>0</v>
      </c>
      <c r="J642" s="9">
        <v>0</v>
      </c>
      <c r="K642" s="9">
        <v>4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4</v>
      </c>
      <c r="S642" s="9">
        <v>0</v>
      </c>
      <c r="T642" s="9">
        <v>4</v>
      </c>
      <c r="U642" s="9">
        <v>0</v>
      </c>
      <c r="V642" s="9">
        <v>0</v>
      </c>
      <c r="W642" s="9">
        <v>0</v>
      </c>
      <c r="X642" s="9">
        <v>16</v>
      </c>
      <c r="Y642" s="9">
        <v>0</v>
      </c>
      <c r="Z642" s="9">
        <v>44</v>
      </c>
      <c r="AA642" s="9">
        <v>4</v>
      </c>
    </row>
    <row r="643" spans="1:27" x14ac:dyDescent="0.25">
      <c r="A643" s="9" t="s">
        <v>37</v>
      </c>
      <c r="B643" s="9" t="s">
        <v>29</v>
      </c>
      <c r="D643" s="9">
        <v>0</v>
      </c>
      <c r="E643" s="9">
        <v>0</v>
      </c>
      <c r="F643" s="9">
        <v>36</v>
      </c>
      <c r="G643" s="9">
        <v>0</v>
      </c>
      <c r="H643" s="9">
        <v>0</v>
      </c>
      <c r="I643" s="9">
        <v>0</v>
      </c>
      <c r="J643" s="9">
        <v>4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9">
        <v>8</v>
      </c>
      <c r="Y643" s="9">
        <v>0</v>
      </c>
      <c r="Z643" s="9">
        <v>52</v>
      </c>
      <c r="AA643" s="9">
        <v>0</v>
      </c>
    </row>
    <row r="644" spans="1:27" x14ac:dyDescent="0.25">
      <c r="A644" s="9" t="s">
        <v>37</v>
      </c>
      <c r="B644" s="9" t="s">
        <v>29</v>
      </c>
      <c r="D644" s="9">
        <v>0</v>
      </c>
      <c r="E644" s="9">
        <v>0</v>
      </c>
      <c r="F644" s="9">
        <v>8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4</v>
      </c>
      <c r="Z644" s="9">
        <v>88</v>
      </c>
      <c r="AA644" s="9">
        <v>0</v>
      </c>
    </row>
    <row r="645" spans="1:27" x14ac:dyDescent="0.25">
      <c r="A645" s="9" t="s">
        <v>37</v>
      </c>
      <c r="B645" s="9" t="s">
        <v>29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>
        <v>100</v>
      </c>
      <c r="AA645" s="9">
        <v>0</v>
      </c>
    </row>
    <row r="646" spans="1:27" x14ac:dyDescent="0.25">
      <c r="A646" s="9" t="s">
        <v>37</v>
      </c>
      <c r="B646" s="9" t="s">
        <v>29</v>
      </c>
      <c r="D646" s="9">
        <v>0</v>
      </c>
      <c r="E646" s="9">
        <v>0</v>
      </c>
      <c r="F646" s="9">
        <v>20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4</v>
      </c>
      <c r="Y646" s="9">
        <v>4</v>
      </c>
      <c r="Z646" s="9">
        <v>72</v>
      </c>
      <c r="AA646" s="9">
        <v>0</v>
      </c>
    </row>
    <row r="647" spans="1:27" x14ac:dyDescent="0.25">
      <c r="A647" s="9" t="s">
        <v>37</v>
      </c>
      <c r="B647" s="9" t="s">
        <v>29</v>
      </c>
      <c r="D647" s="9">
        <v>0</v>
      </c>
      <c r="E647" s="9">
        <v>0</v>
      </c>
      <c r="F647" s="9">
        <v>8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4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12</v>
      </c>
      <c r="Y647" s="9">
        <v>4</v>
      </c>
      <c r="Z647" s="9">
        <v>72</v>
      </c>
      <c r="AA647" s="9">
        <v>0</v>
      </c>
    </row>
    <row r="648" spans="1:27" x14ac:dyDescent="0.25">
      <c r="A648" s="9" t="s">
        <v>37</v>
      </c>
      <c r="B648" s="9" t="s">
        <v>29</v>
      </c>
      <c r="D648" s="9">
        <v>0</v>
      </c>
      <c r="E648" s="9">
        <v>0</v>
      </c>
      <c r="F648" s="9">
        <v>20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16</v>
      </c>
      <c r="Y648" s="9">
        <v>4</v>
      </c>
      <c r="Z648" s="9">
        <v>48</v>
      </c>
      <c r="AA648" s="9">
        <v>12</v>
      </c>
    </row>
    <row r="649" spans="1:27" x14ac:dyDescent="0.25">
      <c r="A649" s="9" t="s">
        <v>37</v>
      </c>
      <c r="B649" s="9" t="s">
        <v>29</v>
      </c>
      <c r="D649" s="9">
        <v>56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12</v>
      </c>
      <c r="Y649" s="9">
        <v>0</v>
      </c>
      <c r="Z649" s="9">
        <v>28</v>
      </c>
      <c r="AA649" s="9">
        <v>4</v>
      </c>
    </row>
    <row r="650" spans="1:27" x14ac:dyDescent="0.25">
      <c r="A650" s="9" t="s">
        <v>37</v>
      </c>
      <c r="B650" s="9" t="s">
        <v>29</v>
      </c>
      <c r="D650" s="9">
        <v>0</v>
      </c>
      <c r="E650" s="9">
        <v>0</v>
      </c>
      <c r="F650" s="9">
        <v>16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9">
        <v>24</v>
      </c>
      <c r="U650" s="9">
        <v>0</v>
      </c>
      <c r="V650" s="9">
        <v>0</v>
      </c>
      <c r="W650" s="9">
        <v>0</v>
      </c>
      <c r="X650" s="9">
        <v>8</v>
      </c>
      <c r="Y650" s="9">
        <v>8</v>
      </c>
      <c r="Z650" s="9">
        <v>44</v>
      </c>
      <c r="AA650" s="9">
        <v>0</v>
      </c>
    </row>
    <row r="651" spans="1:27" x14ac:dyDescent="0.25">
      <c r="A651" s="9" t="s">
        <v>37</v>
      </c>
      <c r="B651" s="9" t="s">
        <v>29</v>
      </c>
      <c r="D651" s="9">
        <v>0</v>
      </c>
      <c r="E651" s="9">
        <v>0</v>
      </c>
      <c r="F651" s="9">
        <v>16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12</v>
      </c>
      <c r="Y651" s="9">
        <v>4</v>
      </c>
      <c r="Z651" s="9">
        <v>68</v>
      </c>
      <c r="AA651" s="9">
        <v>0</v>
      </c>
    </row>
    <row r="652" spans="1:27" x14ac:dyDescent="0.25">
      <c r="A652" s="9" t="s">
        <v>37</v>
      </c>
      <c r="B652" s="9" t="s">
        <v>29</v>
      </c>
      <c r="D652" s="9">
        <v>0</v>
      </c>
      <c r="E652" s="9">
        <v>0</v>
      </c>
      <c r="F652" s="9">
        <v>16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4</v>
      </c>
      <c r="Y652" s="9">
        <v>4</v>
      </c>
      <c r="Z652" s="9">
        <v>76</v>
      </c>
      <c r="AA652" s="9">
        <v>0</v>
      </c>
    </row>
    <row r="653" spans="1:27" x14ac:dyDescent="0.25">
      <c r="A653" s="9" t="s">
        <v>37</v>
      </c>
      <c r="B653" s="9" t="s">
        <v>29</v>
      </c>
      <c r="D653" s="9">
        <v>0</v>
      </c>
      <c r="E653" s="9">
        <v>0</v>
      </c>
      <c r="F653" s="9">
        <v>16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0</v>
      </c>
      <c r="X653" s="9">
        <v>4</v>
      </c>
      <c r="Y653" s="9">
        <v>8</v>
      </c>
      <c r="Z653" s="9">
        <v>72</v>
      </c>
      <c r="AA653" s="9">
        <v>0</v>
      </c>
    </row>
    <row r="654" spans="1:27" x14ac:dyDescent="0.25">
      <c r="A654" s="9" t="s">
        <v>37</v>
      </c>
      <c r="B654" s="9" t="s">
        <v>29</v>
      </c>
      <c r="D654" s="9">
        <v>0</v>
      </c>
      <c r="E654" s="9">
        <v>0</v>
      </c>
      <c r="F654" s="9">
        <v>32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4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8</v>
      </c>
      <c r="Y654" s="9">
        <v>4</v>
      </c>
      <c r="Z654" s="9">
        <v>52</v>
      </c>
      <c r="AA654" s="9">
        <v>0</v>
      </c>
    </row>
    <row r="655" spans="1:27" x14ac:dyDescent="0.25">
      <c r="A655" s="9" t="s">
        <v>37</v>
      </c>
      <c r="B655" s="9" t="s">
        <v>29</v>
      </c>
      <c r="D655" s="9">
        <v>0</v>
      </c>
      <c r="E655" s="9">
        <v>0</v>
      </c>
      <c r="F655" s="9">
        <v>12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24</v>
      </c>
      <c r="Y655" s="9">
        <v>0</v>
      </c>
      <c r="Z655" s="9">
        <v>64</v>
      </c>
      <c r="AA655" s="9">
        <v>0</v>
      </c>
    </row>
    <row r="656" spans="1:27" x14ac:dyDescent="0.25">
      <c r="A656" s="9" t="s">
        <v>37</v>
      </c>
      <c r="B656" s="9" t="s">
        <v>29</v>
      </c>
      <c r="D656" s="9">
        <v>0</v>
      </c>
      <c r="E656" s="9">
        <v>0</v>
      </c>
      <c r="F656" s="9">
        <v>36</v>
      </c>
      <c r="G656" s="9">
        <v>0</v>
      </c>
      <c r="H656" s="9">
        <v>0</v>
      </c>
      <c r="I656" s="9">
        <v>0</v>
      </c>
      <c r="J656" s="9">
        <v>0</v>
      </c>
      <c r="K656" s="9">
        <v>4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20</v>
      </c>
      <c r="Y656" s="9">
        <v>12</v>
      </c>
      <c r="Z656" s="9">
        <v>28</v>
      </c>
      <c r="AA656" s="9">
        <v>0</v>
      </c>
    </row>
    <row r="657" spans="1:27" s="10" customFormat="1" x14ac:dyDescent="0.25">
      <c r="A657" s="10" t="s">
        <v>37</v>
      </c>
      <c r="B657" s="10" t="s">
        <v>29</v>
      </c>
      <c r="C657" s="10" t="s">
        <v>84</v>
      </c>
      <c r="D657" s="10">
        <v>3.7333333333333298</v>
      </c>
      <c r="E657" s="10">
        <v>0</v>
      </c>
      <c r="F657" s="10">
        <v>17.3333333333333</v>
      </c>
      <c r="G657" s="10">
        <v>0</v>
      </c>
      <c r="H657" s="10">
        <v>0</v>
      </c>
      <c r="I657" s="10">
        <v>0</v>
      </c>
      <c r="J657" s="10">
        <v>0.266666666666667</v>
      </c>
      <c r="K657" s="10">
        <v>0.53333333333333299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0.8</v>
      </c>
      <c r="S657" s="10">
        <v>0</v>
      </c>
      <c r="T657" s="10">
        <v>1.86666666666667</v>
      </c>
      <c r="U657" s="10">
        <v>0</v>
      </c>
      <c r="V657" s="10">
        <v>0</v>
      </c>
      <c r="W657" s="10">
        <v>0</v>
      </c>
      <c r="X657" s="10">
        <v>9.8666666666666707</v>
      </c>
      <c r="Y657" s="10">
        <v>3.7333333333333298</v>
      </c>
      <c r="Z657" s="10">
        <v>60.533333333333303</v>
      </c>
      <c r="AA657" s="10">
        <v>1.3333333333333299</v>
      </c>
    </row>
    <row r="658" spans="1:27" s="10" customFormat="1" x14ac:dyDescent="0.25">
      <c r="A658" s="10" t="s">
        <v>37</v>
      </c>
      <c r="B658" s="10" t="s">
        <v>29</v>
      </c>
      <c r="C658" s="10" t="s">
        <v>83</v>
      </c>
      <c r="D658" s="10">
        <v>14.459137825840999</v>
      </c>
      <c r="E658" s="10">
        <v>0</v>
      </c>
      <c r="F658" s="10">
        <v>11.2799864910422</v>
      </c>
      <c r="G658" s="10">
        <v>0</v>
      </c>
      <c r="H658" s="10">
        <v>0</v>
      </c>
      <c r="I658" s="10">
        <v>0</v>
      </c>
      <c r="J658" s="10">
        <v>1.03279555898864</v>
      </c>
      <c r="K658" s="10">
        <v>1.4074631010979901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1.65615734242165</v>
      </c>
      <c r="S658" s="10">
        <v>0</v>
      </c>
      <c r="T658" s="10">
        <v>6.20905636569527</v>
      </c>
      <c r="U658" s="10">
        <v>0</v>
      </c>
      <c r="V658" s="10">
        <v>0</v>
      </c>
      <c r="W658" s="10">
        <v>0</v>
      </c>
      <c r="X658" s="10">
        <v>7.0697208135082903</v>
      </c>
      <c r="Y658" s="10">
        <v>3.53486040675415</v>
      </c>
      <c r="Z658" s="10">
        <v>20.666973884045301</v>
      </c>
      <c r="AA658" s="10">
        <v>3.2659863237109001</v>
      </c>
    </row>
    <row r="659" spans="1:27" s="10" customFormat="1" x14ac:dyDescent="0.25">
      <c r="A659" s="10" t="s">
        <v>37</v>
      </c>
      <c r="B659" s="10" t="s">
        <v>29</v>
      </c>
      <c r="C659" s="10" t="s">
        <v>82</v>
      </c>
      <c r="D659" s="10">
        <v>0</v>
      </c>
      <c r="E659" s="10">
        <v>0</v>
      </c>
      <c r="F659" s="10">
        <v>16</v>
      </c>
      <c r="G659" s="10">
        <v>0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8</v>
      </c>
      <c r="Y659" s="10">
        <v>4</v>
      </c>
      <c r="Z659" s="10">
        <v>64</v>
      </c>
      <c r="AA659" s="10">
        <v>0</v>
      </c>
    </row>
    <row r="660" spans="1:27" s="10" customFormat="1" x14ac:dyDescent="0.25">
      <c r="A660" s="10" t="s">
        <v>37</v>
      </c>
      <c r="B660" s="10" t="s">
        <v>29</v>
      </c>
      <c r="C660" s="10" t="s">
        <v>81</v>
      </c>
      <c r="D660" s="10">
        <v>0</v>
      </c>
      <c r="E660" s="10">
        <v>0</v>
      </c>
      <c r="F660" s="10">
        <v>10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4</v>
      </c>
      <c r="Y660" s="10">
        <v>0</v>
      </c>
      <c r="Z660" s="10">
        <v>46</v>
      </c>
      <c r="AA660" s="10">
        <v>0</v>
      </c>
    </row>
    <row r="661" spans="1:27" s="10" customFormat="1" x14ac:dyDescent="0.25">
      <c r="A661" s="10" t="s">
        <v>37</v>
      </c>
      <c r="B661" s="10" t="s">
        <v>29</v>
      </c>
      <c r="C661" s="10" t="s">
        <v>80</v>
      </c>
      <c r="D661" s="10">
        <v>0</v>
      </c>
      <c r="E661" s="10">
        <v>0</v>
      </c>
      <c r="F661" s="10">
        <v>22</v>
      </c>
      <c r="G661" s="10">
        <v>0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14</v>
      </c>
      <c r="Y661" s="10">
        <v>4</v>
      </c>
      <c r="Z661" s="10">
        <v>72</v>
      </c>
      <c r="AA661" s="10">
        <v>0</v>
      </c>
    </row>
    <row r="662" spans="1:27" x14ac:dyDescent="0.25">
      <c r="A662" s="9" t="s">
        <v>37</v>
      </c>
      <c r="B662" s="9" t="s">
        <v>30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8</v>
      </c>
      <c r="P662" s="9">
        <v>0</v>
      </c>
      <c r="Q662" s="9">
        <v>0</v>
      </c>
      <c r="R662" s="9">
        <v>0</v>
      </c>
      <c r="S662" s="9">
        <v>0</v>
      </c>
      <c r="T662" s="9">
        <v>40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44</v>
      </c>
      <c r="AA662" s="9">
        <v>8</v>
      </c>
    </row>
    <row r="663" spans="1:27" x14ac:dyDescent="0.25">
      <c r="A663" s="9" t="s">
        <v>37</v>
      </c>
      <c r="B663" s="9" t="s">
        <v>30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8</v>
      </c>
      <c r="S663" s="9">
        <v>0</v>
      </c>
      <c r="T663" s="9">
        <v>20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72</v>
      </c>
      <c r="AA663" s="9">
        <v>0</v>
      </c>
    </row>
    <row r="664" spans="1:27" x14ac:dyDescent="0.25">
      <c r="A664" s="9" t="s">
        <v>37</v>
      </c>
      <c r="B664" s="9" t="s">
        <v>30</v>
      </c>
      <c r="D664" s="9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4</v>
      </c>
      <c r="P664" s="9">
        <v>0</v>
      </c>
      <c r="Q664" s="9">
        <v>0</v>
      </c>
      <c r="R664" s="9">
        <v>0</v>
      </c>
      <c r="S664" s="9">
        <v>0</v>
      </c>
      <c r="T664" s="9">
        <v>4</v>
      </c>
      <c r="U664" s="9">
        <v>4</v>
      </c>
      <c r="V664" s="9">
        <v>0</v>
      </c>
      <c r="W664" s="9">
        <v>0</v>
      </c>
      <c r="X664" s="9">
        <v>8</v>
      </c>
      <c r="Y664" s="9">
        <v>0</v>
      </c>
      <c r="Z664" s="9">
        <v>80</v>
      </c>
      <c r="AA664" s="9">
        <v>0</v>
      </c>
    </row>
    <row r="665" spans="1:27" x14ac:dyDescent="0.25">
      <c r="A665" s="9" t="s">
        <v>37</v>
      </c>
      <c r="B665" s="9" t="s">
        <v>30</v>
      </c>
      <c r="D665" s="9">
        <v>0</v>
      </c>
      <c r="E665" s="9">
        <v>0</v>
      </c>
      <c r="F665" s="9">
        <v>16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8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8</v>
      </c>
      <c r="Y665" s="9">
        <v>0</v>
      </c>
      <c r="Z665" s="9">
        <v>64</v>
      </c>
      <c r="AA665" s="9">
        <v>4</v>
      </c>
    </row>
    <row r="666" spans="1:27" x14ac:dyDescent="0.25">
      <c r="A666" s="9" t="s">
        <v>37</v>
      </c>
      <c r="B666" s="9" t="s">
        <v>30</v>
      </c>
      <c r="D666" s="9">
        <v>0</v>
      </c>
      <c r="E666" s="9">
        <v>0</v>
      </c>
      <c r="F666" s="9">
        <v>20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12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4</v>
      </c>
      <c r="Z666" s="9">
        <v>64</v>
      </c>
      <c r="AA666" s="9">
        <v>0</v>
      </c>
    </row>
    <row r="667" spans="1:27" x14ac:dyDescent="0.25">
      <c r="A667" s="9" t="s">
        <v>37</v>
      </c>
      <c r="B667" s="9" t="s">
        <v>30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28</v>
      </c>
      <c r="Y667" s="9">
        <v>12</v>
      </c>
      <c r="Z667" s="9">
        <v>60</v>
      </c>
      <c r="AA667" s="9">
        <v>0</v>
      </c>
    </row>
    <row r="668" spans="1:27" x14ac:dyDescent="0.25">
      <c r="A668" s="9" t="s">
        <v>37</v>
      </c>
      <c r="B668" s="9" t="s">
        <v>30</v>
      </c>
      <c r="D668" s="9">
        <v>0</v>
      </c>
      <c r="E668" s="9">
        <v>0</v>
      </c>
      <c r="F668" s="9">
        <v>0</v>
      </c>
      <c r="G668" s="9">
        <v>20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4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16</v>
      </c>
      <c r="Y668" s="9">
        <v>0</v>
      </c>
      <c r="Z668" s="9">
        <v>60</v>
      </c>
      <c r="AA668" s="9">
        <v>0</v>
      </c>
    </row>
    <row r="669" spans="1:27" x14ac:dyDescent="0.25">
      <c r="A669" s="9" t="s">
        <v>37</v>
      </c>
      <c r="B669" s="9" t="s">
        <v>30</v>
      </c>
      <c r="D669" s="9">
        <v>0</v>
      </c>
      <c r="E669" s="9">
        <v>0</v>
      </c>
      <c r="F669" s="9">
        <v>4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4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4</v>
      </c>
      <c r="Y669" s="9">
        <v>0</v>
      </c>
      <c r="Z669" s="9">
        <v>84</v>
      </c>
      <c r="AA669" s="9">
        <v>4</v>
      </c>
    </row>
    <row r="670" spans="1:27" x14ac:dyDescent="0.25">
      <c r="A670" s="9" t="s">
        <v>37</v>
      </c>
      <c r="B670" s="9" t="s">
        <v>30</v>
      </c>
      <c r="D670" s="9">
        <v>8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16</v>
      </c>
      <c r="Y670" s="9">
        <v>8</v>
      </c>
      <c r="Z670" s="9">
        <v>64</v>
      </c>
      <c r="AA670" s="9">
        <v>4</v>
      </c>
    </row>
    <row r="671" spans="1:27" x14ac:dyDescent="0.25">
      <c r="A671" s="9" t="s">
        <v>37</v>
      </c>
      <c r="B671" s="9" t="s">
        <v>30</v>
      </c>
      <c r="D671" s="9">
        <v>0</v>
      </c>
      <c r="E671" s="9">
        <v>0</v>
      </c>
      <c r="F671" s="9">
        <v>0</v>
      </c>
      <c r="G671" s="9">
        <v>16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4</v>
      </c>
      <c r="S671" s="9">
        <v>0</v>
      </c>
      <c r="T671" s="9">
        <v>8</v>
      </c>
      <c r="U671" s="9">
        <v>0</v>
      </c>
      <c r="V671" s="9">
        <v>0</v>
      </c>
      <c r="W671" s="9">
        <v>0</v>
      </c>
      <c r="X671" s="9">
        <v>20</v>
      </c>
      <c r="Y671" s="9">
        <v>0</v>
      </c>
      <c r="Z671" s="9">
        <v>52</v>
      </c>
      <c r="AA671" s="9">
        <v>0</v>
      </c>
    </row>
    <row r="672" spans="1:27" x14ac:dyDescent="0.25">
      <c r="A672" s="9" t="s">
        <v>37</v>
      </c>
      <c r="B672" s="9" t="s">
        <v>30</v>
      </c>
      <c r="D672" s="9">
        <v>0</v>
      </c>
      <c r="E672" s="9">
        <v>0</v>
      </c>
      <c r="F672" s="9">
        <v>16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4</v>
      </c>
      <c r="P672" s="9">
        <v>0</v>
      </c>
      <c r="Q672" s="9">
        <v>0</v>
      </c>
      <c r="R672" s="9">
        <v>0</v>
      </c>
      <c r="S672" s="9">
        <v>0</v>
      </c>
      <c r="T672" s="9">
        <v>4</v>
      </c>
      <c r="U672" s="9">
        <v>0</v>
      </c>
      <c r="V672" s="9">
        <v>0</v>
      </c>
      <c r="W672" s="9">
        <v>0</v>
      </c>
      <c r="X672" s="9">
        <v>8</v>
      </c>
      <c r="Y672" s="9">
        <v>0</v>
      </c>
      <c r="Z672" s="9">
        <v>52</v>
      </c>
      <c r="AA672" s="9">
        <v>16</v>
      </c>
    </row>
    <row r="673" spans="1:27" x14ac:dyDescent="0.25">
      <c r="A673" s="9" t="s">
        <v>37</v>
      </c>
      <c r="B673" s="9" t="s">
        <v>30</v>
      </c>
      <c r="D673" s="9">
        <v>0</v>
      </c>
      <c r="E673" s="9">
        <v>0</v>
      </c>
      <c r="F673" s="9">
        <v>8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4</v>
      </c>
      <c r="O673" s="9">
        <v>4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8</v>
      </c>
      <c r="Y673" s="9">
        <v>0</v>
      </c>
      <c r="Z673" s="9">
        <v>68</v>
      </c>
      <c r="AA673" s="9">
        <v>8</v>
      </c>
    </row>
    <row r="674" spans="1:27" x14ac:dyDescent="0.25">
      <c r="A674" s="9" t="s">
        <v>37</v>
      </c>
      <c r="B674" s="9" t="s">
        <v>30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20</v>
      </c>
      <c r="O674" s="9">
        <v>4</v>
      </c>
      <c r="P674" s="9">
        <v>0</v>
      </c>
      <c r="Q674" s="9">
        <v>0</v>
      </c>
      <c r="R674" s="9">
        <v>0</v>
      </c>
      <c r="S674" s="9">
        <v>0</v>
      </c>
      <c r="T674" s="9">
        <v>12</v>
      </c>
      <c r="U674" s="9">
        <v>0</v>
      </c>
      <c r="V674" s="9">
        <v>0</v>
      </c>
      <c r="W674" s="9">
        <v>0</v>
      </c>
      <c r="X674" s="9">
        <v>0</v>
      </c>
      <c r="Y674" s="9">
        <v>4</v>
      </c>
      <c r="Z674" s="9">
        <v>60</v>
      </c>
      <c r="AA674" s="9">
        <v>0</v>
      </c>
    </row>
    <row r="675" spans="1:27" x14ac:dyDescent="0.25">
      <c r="A675" s="9" t="s">
        <v>37</v>
      </c>
      <c r="B675" s="9" t="s">
        <v>30</v>
      </c>
      <c r="D675" s="9">
        <v>0</v>
      </c>
      <c r="E675" s="9">
        <v>0</v>
      </c>
      <c r="F675" s="9">
        <v>4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36</v>
      </c>
      <c r="U675" s="9">
        <v>4</v>
      </c>
      <c r="V675" s="9">
        <v>0</v>
      </c>
      <c r="W675" s="9">
        <v>0</v>
      </c>
      <c r="X675" s="9">
        <v>0</v>
      </c>
      <c r="Y675" s="9">
        <v>0</v>
      </c>
      <c r="Z675" s="9">
        <v>52</v>
      </c>
      <c r="AA675" s="9">
        <v>4</v>
      </c>
    </row>
    <row r="676" spans="1:27" x14ac:dyDescent="0.25">
      <c r="A676" s="9" t="s">
        <v>37</v>
      </c>
      <c r="B676" s="9" t="s">
        <v>30</v>
      </c>
      <c r="D676" s="9">
        <v>0</v>
      </c>
      <c r="E676" s="9">
        <v>0</v>
      </c>
      <c r="F676" s="9">
        <v>4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4</v>
      </c>
      <c r="Y676" s="9">
        <v>0</v>
      </c>
      <c r="Z676" s="9">
        <v>92</v>
      </c>
      <c r="AA676" s="9">
        <v>0</v>
      </c>
    </row>
    <row r="677" spans="1:27" s="10" customFormat="1" x14ac:dyDescent="0.25">
      <c r="A677" s="10" t="s">
        <v>37</v>
      </c>
      <c r="B677" s="10" t="s">
        <v>30</v>
      </c>
      <c r="C677" s="10" t="s">
        <v>84</v>
      </c>
      <c r="D677" s="10">
        <v>0.53333333333333299</v>
      </c>
      <c r="E677" s="10">
        <v>0</v>
      </c>
      <c r="F677" s="10">
        <v>4.8</v>
      </c>
      <c r="G677" s="10">
        <v>2.4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1.6</v>
      </c>
      <c r="O677" s="10">
        <v>2.93333333333333</v>
      </c>
      <c r="P677" s="10">
        <v>0</v>
      </c>
      <c r="Q677" s="10">
        <v>0</v>
      </c>
      <c r="R677" s="10">
        <v>1.3333333333333299</v>
      </c>
      <c r="S677" s="10">
        <v>0</v>
      </c>
      <c r="T677" s="10">
        <v>8.2666666666666693</v>
      </c>
      <c r="U677" s="10">
        <v>0.53333333333333299</v>
      </c>
      <c r="V677" s="10">
        <v>0</v>
      </c>
      <c r="W677" s="10">
        <v>0</v>
      </c>
      <c r="X677" s="10">
        <v>8</v>
      </c>
      <c r="Y677" s="10">
        <v>1.86666666666667</v>
      </c>
      <c r="Z677" s="10">
        <v>64.533333333333303</v>
      </c>
      <c r="AA677" s="10">
        <v>3.2</v>
      </c>
    </row>
    <row r="678" spans="1:27" s="10" customFormat="1" x14ac:dyDescent="0.25">
      <c r="A678" s="10" t="s">
        <v>37</v>
      </c>
      <c r="B678" s="10" t="s">
        <v>30</v>
      </c>
      <c r="C678" s="10" t="s">
        <v>83</v>
      </c>
      <c r="D678" s="10">
        <v>2.0655911179772901</v>
      </c>
      <c r="E678" s="10">
        <v>0</v>
      </c>
      <c r="F678" s="10">
        <v>6.9611164950130604</v>
      </c>
      <c r="G678" s="10">
        <v>6.37853543422895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5.1934024080008099</v>
      </c>
      <c r="O678" s="10">
        <v>3.8446004188930201</v>
      </c>
      <c r="P678" s="10">
        <v>0</v>
      </c>
      <c r="Q678" s="10">
        <v>0</v>
      </c>
      <c r="R678" s="10">
        <v>2.4688535993934702</v>
      </c>
      <c r="S678" s="10">
        <v>0</v>
      </c>
      <c r="T678" s="10">
        <v>13.392250779924201</v>
      </c>
      <c r="U678" s="10">
        <v>1.4074631010979901</v>
      </c>
      <c r="V678" s="10">
        <v>0</v>
      </c>
      <c r="W678" s="10">
        <v>0</v>
      </c>
      <c r="X678" s="10">
        <v>8.5523597411975807</v>
      </c>
      <c r="Y678" s="10">
        <v>3.6619016657365102</v>
      </c>
      <c r="Z678" s="10">
        <v>13.0814299495051</v>
      </c>
      <c r="AA678" s="10">
        <v>4.5856920337688898</v>
      </c>
    </row>
    <row r="679" spans="1:27" s="10" customFormat="1" x14ac:dyDescent="0.25">
      <c r="A679" s="10" t="s">
        <v>37</v>
      </c>
      <c r="B679" s="10" t="s">
        <v>30</v>
      </c>
      <c r="C679" s="10" t="s">
        <v>82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8</v>
      </c>
      <c r="Y679" s="10">
        <v>0</v>
      </c>
      <c r="Z679" s="10">
        <v>64</v>
      </c>
      <c r="AA679" s="10">
        <v>0</v>
      </c>
    </row>
    <row r="680" spans="1:27" s="10" customFormat="1" x14ac:dyDescent="0.25">
      <c r="A680" s="10" t="s">
        <v>37</v>
      </c>
      <c r="B680" s="10" t="s">
        <v>30</v>
      </c>
      <c r="C680" s="10" t="s">
        <v>81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56</v>
      </c>
      <c r="AA680" s="10">
        <v>0</v>
      </c>
    </row>
    <row r="681" spans="1:27" s="10" customFormat="1" x14ac:dyDescent="0.25">
      <c r="A681" s="10" t="s">
        <v>37</v>
      </c>
      <c r="B681" s="10" t="s">
        <v>30</v>
      </c>
      <c r="C681" s="10" t="s">
        <v>80</v>
      </c>
      <c r="D681" s="10">
        <v>0</v>
      </c>
      <c r="E681" s="10">
        <v>0</v>
      </c>
      <c r="F681" s="10">
        <v>6</v>
      </c>
      <c r="G681" s="10">
        <v>0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4</v>
      </c>
      <c r="P681" s="10">
        <v>0</v>
      </c>
      <c r="Q681" s="10">
        <v>0</v>
      </c>
      <c r="R681" s="10">
        <v>2</v>
      </c>
      <c r="S681" s="10">
        <v>0</v>
      </c>
      <c r="T681" s="10">
        <v>10</v>
      </c>
      <c r="U681" s="10">
        <v>0</v>
      </c>
      <c r="V681" s="10">
        <v>0</v>
      </c>
      <c r="W681" s="10">
        <v>0</v>
      </c>
      <c r="X681" s="10">
        <v>12</v>
      </c>
      <c r="Y681" s="10">
        <v>2</v>
      </c>
      <c r="Z681" s="10">
        <v>70</v>
      </c>
      <c r="AA681" s="10">
        <v>4</v>
      </c>
    </row>
    <row r="682" spans="1:27" x14ac:dyDescent="0.25">
      <c r="A682" s="9" t="s">
        <v>37</v>
      </c>
      <c r="B682" s="9" t="s">
        <v>31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8</v>
      </c>
      <c r="Y682" s="9">
        <v>12</v>
      </c>
      <c r="Z682" s="9">
        <v>76</v>
      </c>
      <c r="AA682" s="9">
        <v>4</v>
      </c>
    </row>
    <row r="683" spans="1:27" x14ac:dyDescent="0.25">
      <c r="A683" s="9" t="s">
        <v>37</v>
      </c>
      <c r="B683" s="9" t="s">
        <v>31</v>
      </c>
      <c r="D683" s="9">
        <v>0</v>
      </c>
      <c r="E683" s="9">
        <v>0</v>
      </c>
      <c r="F683" s="9">
        <v>32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4</v>
      </c>
      <c r="Y683" s="9">
        <v>0</v>
      </c>
      <c r="Z683" s="9">
        <v>64</v>
      </c>
      <c r="AA683" s="9">
        <v>0</v>
      </c>
    </row>
    <row r="684" spans="1:27" x14ac:dyDescent="0.25">
      <c r="A684" s="9" t="s">
        <v>37</v>
      </c>
      <c r="B684" s="9" t="s">
        <v>31</v>
      </c>
      <c r="D684" s="9">
        <v>0</v>
      </c>
      <c r="E684" s="9">
        <v>0</v>
      </c>
      <c r="F684" s="9">
        <v>4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12</v>
      </c>
      <c r="O684" s="9">
        <v>4</v>
      </c>
      <c r="P684" s="9">
        <v>0</v>
      </c>
      <c r="Q684" s="9">
        <v>0</v>
      </c>
      <c r="R684" s="9">
        <v>0</v>
      </c>
      <c r="S684" s="9">
        <v>0</v>
      </c>
      <c r="T684" s="9">
        <v>8</v>
      </c>
      <c r="U684" s="9">
        <v>0</v>
      </c>
      <c r="V684" s="9">
        <v>0</v>
      </c>
      <c r="W684" s="9">
        <v>0</v>
      </c>
      <c r="X684" s="9">
        <v>4</v>
      </c>
      <c r="Y684" s="9">
        <v>0</v>
      </c>
      <c r="Z684" s="9">
        <v>68</v>
      </c>
      <c r="AA684" s="9">
        <v>0</v>
      </c>
    </row>
    <row r="685" spans="1:27" x14ac:dyDescent="0.25">
      <c r="A685" s="9" t="s">
        <v>37</v>
      </c>
      <c r="B685" s="9" t="s">
        <v>31</v>
      </c>
      <c r="D685" s="9">
        <v>0</v>
      </c>
      <c r="E685" s="9">
        <v>0</v>
      </c>
      <c r="F685" s="9">
        <v>8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4</v>
      </c>
      <c r="O685" s="9">
        <v>0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4</v>
      </c>
      <c r="Y685" s="9">
        <v>16</v>
      </c>
      <c r="Z685" s="9">
        <v>68</v>
      </c>
      <c r="AA685" s="9">
        <v>0</v>
      </c>
    </row>
    <row r="686" spans="1:27" x14ac:dyDescent="0.25">
      <c r="A686" s="9" t="s">
        <v>37</v>
      </c>
      <c r="B686" s="9" t="s">
        <v>31</v>
      </c>
      <c r="D686" s="9">
        <v>0</v>
      </c>
      <c r="E686" s="9">
        <v>0</v>
      </c>
      <c r="F686" s="9">
        <v>24</v>
      </c>
      <c r="G686" s="9">
        <v>0</v>
      </c>
      <c r="H686" s="9">
        <v>0</v>
      </c>
      <c r="I686" s="9">
        <v>0</v>
      </c>
      <c r="J686" s="9">
        <v>0</v>
      </c>
      <c r="K686" s="9">
        <v>4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9">
        <v>8</v>
      </c>
      <c r="Y686" s="9">
        <v>0</v>
      </c>
      <c r="Z686" s="9">
        <v>64</v>
      </c>
      <c r="AA686" s="9">
        <v>0</v>
      </c>
    </row>
    <row r="687" spans="1:27" x14ac:dyDescent="0.25">
      <c r="A687" s="9" t="s">
        <v>37</v>
      </c>
      <c r="B687" s="9" t="s">
        <v>31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4</v>
      </c>
      <c r="U687" s="9">
        <v>4</v>
      </c>
      <c r="V687" s="9">
        <v>0</v>
      </c>
      <c r="W687" s="9">
        <v>0</v>
      </c>
      <c r="X687" s="9">
        <v>4</v>
      </c>
      <c r="Y687" s="9">
        <v>8</v>
      </c>
      <c r="Z687" s="9">
        <v>80</v>
      </c>
      <c r="AA687" s="9">
        <v>0</v>
      </c>
    </row>
    <row r="688" spans="1:27" x14ac:dyDescent="0.25">
      <c r="A688" s="9" t="s">
        <v>37</v>
      </c>
      <c r="B688" s="9" t="s">
        <v>31</v>
      </c>
      <c r="D688" s="9">
        <v>0</v>
      </c>
      <c r="E688" s="9">
        <v>0</v>
      </c>
      <c r="F688" s="9">
        <v>16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12</v>
      </c>
      <c r="Y688" s="9">
        <v>12</v>
      </c>
      <c r="Z688" s="9">
        <v>60</v>
      </c>
      <c r="AA688" s="9">
        <v>0</v>
      </c>
    </row>
    <row r="689" spans="1:27" x14ac:dyDescent="0.25">
      <c r="A689" s="9" t="s">
        <v>37</v>
      </c>
      <c r="B689" s="9" t="s">
        <v>31</v>
      </c>
      <c r="D689" s="9">
        <v>0</v>
      </c>
      <c r="E689" s="9">
        <v>0</v>
      </c>
      <c r="F689" s="9">
        <v>0</v>
      </c>
      <c r="G689" s="9">
        <v>8</v>
      </c>
      <c r="H689" s="9">
        <v>0</v>
      </c>
      <c r="I689" s="9">
        <v>0</v>
      </c>
      <c r="J689" s="9">
        <v>0</v>
      </c>
      <c r="K689" s="9">
        <v>4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9">
        <v>0</v>
      </c>
      <c r="X689" s="9">
        <v>20</v>
      </c>
      <c r="Y689" s="9">
        <v>4</v>
      </c>
      <c r="Z689" s="9">
        <v>60</v>
      </c>
      <c r="AA689" s="9">
        <v>4</v>
      </c>
    </row>
    <row r="690" spans="1:27" x14ac:dyDescent="0.25">
      <c r="A690" s="9" t="s">
        <v>37</v>
      </c>
      <c r="B690" s="9" t="s">
        <v>31</v>
      </c>
      <c r="D690" s="9">
        <v>0</v>
      </c>
      <c r="E690" s="9">
        <v>0</v>
      </c>
      <c r="F690" s="9">
        <v>16</v>
      </c>
      <c r="G690" s="9">
        <v>0</v>
      </c>
      <c r="H690" s="9">
        <v>0</v>
      </c>
      <c r="I690" s="9">
        <v>0</v>
      </c>
      <c r="J690" s="9">
        <v>4</v>
      </c>
      <c r="K690" s="9">
        <v>0</v>
      </c>
      <c r="L690" s="9">
        <v>4</v>
      </c>
      <c r="M690" s="9">
        <v>0</v>
      </c>
      <c r="N690" s="9">
        <v>0</v>
      </c>
      <c r="O690" s="9">
        <v>4</v>
      </c>
      <c r="P690" s="9">
        <v>0</v>
      </c>
      <c r="Q690" s="9">
        <v>0</v>
      </c>
      <c r="R690" s="9">
        <v>0</v>
      </c>
      <c r="S690" s="9">
        <v>0</v>
      </c>
      <c r="T690" s="9">
        <v>0</v>
      </c>
      <c r="U690" s="9">
        <v>0</v>
      </c>
      <c r="V690" s="9">
        <v>0</v>
      </c>
      <c r="W690" s="9">
        <v>0</v>
      </c>
      <c r="X690" s="9">
        <v>0</v>
      </c>
      <c r="Y690" s="9">
        <v>8</v>
      </c>
      <c r="Z690" s="9">
        <v>64</v>
      </c>
      <c r="AA690" s="9">
        <v>0</v>
      </c>
    </row>
    <row r="691" spans="1:27" x14ac:dyDescent="0.25">
      <c r="A691" s="9" t="s">
        <v>37</v>
      </c>
      <c r="B691" s="9" t="s">
        <v>31</v>
      </c>
      <c r="D691" s="9">
        <v>0</v>
      </c>
      <c r="E691" s="9">
        <v>0</v>
      </c>
      <c r="F691" s="9">
        <v>24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4</v>
      </c>
      <c r="O691" s="9">
        <v>4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  <c r="W691" s="9">
        <v>0</v>
      </c>
      <c r="X691" s="9">
        <v>8</v>
      </c>
      <c r="Y691" s="9">
        <v>8</v>
      </c>
      <c r="Z691" s="9">
        <v>48</v>
      </c>
      <c r="AA691" s="9">
        <v>4</v>
      </c>
    </row>
    <row r="692" spans="1:27" x14ac:dyDescent="0.25">
      <c r="A692" s="9" t="s">
        <v>37</v>
      </c>
      <c r="B692" s="9" t="s">
        <v>31</v>
      </c>
      <c r="D692" s="9">
        <v>0</v>
      </c>
      <c r="E692" s="9">
        <v>0</v>
      </c>
      <c r="F692" s="9">
        <v>8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20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20</v>
      </c>
      <c r="U692" s="9">
        <v>0</v>
      </c>
      <c r="V692" s="9">
        <v>0</v>
      </c>
      <c r="W692" s="9">
        <v>0</v>
      </c>
      <c r="X692" s="9">
        <v>0</v>
      </c>
      <c r="Y692" s="9">
        <v>0</v>
      </c>
      <c r="Z692" s="9">
        <v>52</v>
      </c>
      <c r="AA692" s="9">
        <v>0</v>
      </c>
    </row>
    <row r="693" spans="1:27" x14ac:dyDescent="0.25">
      <c r="A693" s="9" t="s">
        <v>37</v>
      </c>
      <c r="B693" s="9" t="s">
        <v>31</v>
      </c>
      <c r="D693" s="9">
        <v>0</v>
      </c>
      <c r="E693" s="9">
        <v>0</v>
      </c>
      <c r="F693" s="9">
        <v>24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9">
        <v>8</v>
      </c>
      <c r="Y693" s="9">
        <v>4</v>
      </c>
      <c r="Z693" s="9">
        <v>64</v>
      </c>
      <c r="AA693" s="9">
        <v>0</v>
      </c>
    </row>
    <row r="694" spans="1:27" x14ac:dyDescent="0.25">
      <c r="A694" s="9" t="s">
        <v>37</v>
      </c>
      <c r="B694" s="9" t="s">
        <v>31</v>
      </c>
      <c r="D694" s="9">
        <v>0</v>
      </c>
      <c r="E694" s="9">
        <v>0</v>
      </c>
      <c r="F694" s="9">
        <v>24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4</v>
      </c>
      <c r="Y694" s="9">
        <v>8</v>
      </c>
      <c r="Z694" s="9">
        <v>60</v>
      </c>
      <c r="AA694" s="9">
        <v>4</v>
      </c>
    </row>
    <row r="695" spans="1:27" x14ac:dyDescent="0.25">
      <c r="A695" s="9" t="s">
        <v>37</v>
      </c>
      <c r="B695" s="9" t="s">
        <v>31</v>
      </c>
      <c r="D695" s="9">
        <v>0</v>
      </c>
      <c r="E695" s="9">
        <v>0</v>
      </c>
      <c r="F695" s="9">
        <v>12</v>
      </c>
      <c r="G695" s="9">
        <v>0</v>
      </c>
      <c r="H695" s="9">
        <v>0</v>
      </c>
      <c r="I695" s="9">
        <v>0</v>
      </c>
      <c r="J695" s="9">
        <v>0</v>
      </c>
      <c r="K695" s="9">
        <v>8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  <c r="W695" s="9">
        <v>0</v>
      </c>
      <c r="X695" s="9">
        <v>40</v>
      </c>
      <c r="Y695" s="9">
        <v>8</v>
      </c>
      <c r="Z695" s="9">
        <v>12</v>
      </c>
      <c r="AA695" s="9">
        <v>20</v>
      </c>
    </row>
    <row r="696" spans="1:27" x14ac:dyDescent="0.25">
      <c r="A696" s="9" t="s">
        <v>37</v>
      </c>
      <c r="B696" s="9" t="s">
        <v>31</v>
      </c>
      <c r="D696" s="9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16</v>
      </c>
      <c r="O696" s="9">
        <v>0</v>
      </c>
      <c r="P696" s="9">
        <v>0</v>
      </c>
      <c r="Q696" s="9">
        <v>0</v>
      </c>
      <c r="R696" s="9">
        <v>0</v>
      </c>
      <c r="S696" s="9">
        <v>0</v>
      </c>
      <c r="T696" s="9">
        <v>12</v>
      </c>
      <c r="U696" s="9">
        <v>0</v>
      </c>
      <c r="V696" s="9">
        <v>0</v>
      </c>
      <c r="W696" s="9">
        <v>0</v>
      </c>
      <c r="X696" s="9">
        <v>0</v>
      </c>
      <c r="Y696" s="9">
        <v>0</v>
      </c>
      <c r="Z696" s="9">
        <v>60</v>
      </c>
      <c r="AA696" s="9">
        <v>12</v>
      </c>
    </row>
    <row r="697" spans="1:27" s="10" customFormat="1" x14ac:dyDescent="0.25">
      <c r="A697" s="10" t="s">
        <v>37</v>
      </c>
      <c r="B697" s="10" t="s">
        <v>31</v>
      </c>
      <c r="C697" s="10" t="s">
        <v>84</v>
      </c>
      <c r="D697" s="10">
        <v>0</v>
      </c>
      <c r="E697" s="10">
        <v>0</v>
      </c>
      <c r="F697" s="10">
        <v>12.8</v>
      </c>
      <c r="G697" s="10">
        <v>0.53333333333333299</v>
      </c>
      <c r="H697" s="10">
        <v>0</v>
      </c>
      <c r="I697" s="10">
        <v>0</v>
      </c>
      <c r="J697" s="10">
        <v>0.266666666666667</v>
      </c>
      <c r="K697" s="10">
        <v>1.06666666666667</v>
      </c>
      <c r="L697" s="10">
        <v>0.266666666666667</v>
      </c>
      <c r="M697" s="10">
        <v>0</v>
      </c>
      <c r="N697" s="10">
        <v>3.7333333333333298</v>
      </c>
      <c r="O697" s="10">
        <v>0.8</v>
      </c>
      <c r="P697" s="10">
        <v>0</v>
      </c>
      <c r="Q697" s="10">
        <v>0</v>
      </c>
      <c r="R697" s="10">
        <v>0</v>
      </c>
      <c r="S697" s="10">
        <v>0</v>
      </c>
      <c r="T697" s="10">
        <v>2.93333333333333</v>
      </c>
      <c r="U697" s="10">
        <v>0.266666666666667</v>
      </c>
      <c r="V697" s="10">
        <v>0</v>
      </c>
      <c r="W697" s="10">
        <v>0</v>
      </c>
      <c r="X697" s="10">
        <v>8.2666666666666693</v>
      </c>
      <c r="Y697" s="10">
        <v>5.8666666666666698</v>
      </c>
      <c r="Z697" s="10">
        <v>60</v>
      </c>
      <c r="AA697" s="10">
        <v>3.2</v>
      </c>
    </row>
    <row r="698" spans="1:27" s="10" customFormat="1" x14ac:dyDescent="0.25">
      <c r="A698" s="10" t="s">
        <v>37</v>
      </c>
      <c r="B698" s="10" t="s">
        <v>31</v>
      </c>
      <c r="C698" s="10" t="s">
        <v>83</v>
      </c>
      <c r="D698" s="10">
        <v>0</v>
      </c>
      <c r="E698" s="10">
        <v>0</v>
      </c>
      <c r="F698" s="10">
        <v>10.9231078779936</v>
      </c>
      <c r="G698" s="10">
        <v>2.0655911179772901</v>
      </c>
      <c r="H698" s="10">
        <v>0</v>
      </c>
      <c r="I698" s="10">
        <v>0</v>
      </c>
      <c r="J698" s="10">
        <v>1.03279555898864</v>
      </c>
      <c r="K698" s="10">
        <v>2.37446735881865</v>
      </c>
      <c r="L698" s="10">
        <v>1.03279555898864</v>
      </c>
      <c r="M698" s="10">
        <v>0</v>
      </c>
      <c r="N698" s="10">
        <v>6.6704751026623397</v>
      </c>
      <c r="O698" s="10">
        <v>1.65615734242165</v>
      </c>
      <c r="P698" s="10">
        <v>0</v>
      </c>
      <c r="Q698" s="10">
        <v>0</v>
      </c>
      <c r="R698" s="10">
        <v>0</v>
      </c>
      <c r="S698" s="10">
        <v>0</v>
      </c>
      <c r="T698" s="10">
        <v>5.9457868236576497</v>
      </c>
      <c r="U698" s="10">
        <v>1.03279555898864</v>
      </c>
      <c r="V698" s="10">
        <v>0</v>
      </c>
      <c r="W698" s="10">
        <v>0</v>
      </c>
      <c r="X698" s="10">
        <v>10.1943027973378</v>
      </c>
      <c r="Y698" s="10">
        <v>5.2080523733742803</v>
      </c>
      <c r="Z698" s="10">
        <v>15.4919333848297</v>
      </c>
      <c r="AA698" s="10">
        <v>5.6971170654237797</v>
      </c>
    </row>
    <row r="699" spans="1:27" s="10" customFormat="1" x14ac:dyDescent="0.25">
      <c r="A699" s="10" t="s">
        <v>37</v>
      </c>
      <c r="B699" s="10" t="s">
        <v>31</v>
      </c>
      <c r="C699" s="10" t="s">
        <v>82</v>
      </c>
      <c r="D699" s="10">
        <v>0</v>
      </c>
      <c r="E699" s="10">
        <v>0</v>
      </c>
      <c r="F699" s="10">
        <v>12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4</v>
      </c>
      <c r="Y699" s="10">
        <v>8</v>
      </c>
      <c r="Z699" s="10">
        <v>64</v>
      </c>
      <c r="AA699" s="10">
        <v>0</v>
      </c>
    </row>
    <row r="700" spans="1:27" s="10" customFormat="1" x14ac:dyDescent="0.25">
      <c r="A700" s="10" t="s">
        <v>37</v>
      </c>
      <c r="B700" s="10" t="s">
        <v>31</v>
      </c>
      <c r="C700" s="10" t="s">
        <v>81</v>
      </c>
      <c r="D700" s="10">
        <v>0</v>
      </c>
      <c r="E700" s="10">
        <v>0</v>
      </c>
      <c r="F700" s="10">
        <v>2</v>
      </c>
      <c r="G700" s="10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4</v>
      </c>
      <c r="Y700" s="10">
        <v>0</v>
      </c>
      <c r="Z700" s="10">
        <v>60</v>
      </c>
      <c r="AA700" s="10">
        <v>0</v>
      </c>
    </row>
    <row r="701" spans="1:27" s="10" customFormat="1" x14ac:dyDescent="0.25">
      <c r="A701" s="10" t="s">
        <v>37</v>
      </c>
      <c r="B701" s="10" t="s">
        <v>31</v>
      </c>
      <c r="C701" s="10" t="s">
        <v>80</v>
      </c>
      <c r="D701" s="10">
        <v>0</v>
      </c>
      <c r="E701" s="10">
        <v>0</v>
      </c>
      <c r="F701" s="10">
        <v>24</v>
      </c>
      <c r="G701" s="10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4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2</v>
      </c>
      <c r="U701" s="10">
        <v>0</v>
      </c>
      <c r="V701" s="10">
        <v>0</v>
      </c>
      <c r="W701" s="10">
        <v>0</v>
      </c>
      <c r="X701" s="10">
        <v>8</v>
      </c>
      <c r="Y701" s="10">
        <v>8</v>
      </c>
      <c r="Z701" s="10">
        <v>66</v>
      </c>
      <c r="AA701" s="10">
        <v>4</v>
      </c>
    </row>
    <row r="702" spans="1:27" x14ac:dyDescent="0.25">
      <c r="A702" s="9" t="s">
        <v>37</v>
      </c>
      <c r="B702" s="9" t="s">
        <v>32</v>
      </c>
      <c r="D702" s="9">
        <v>0</v>
      </c>
      <c r="E702" s="9">
        <v>0</v>
      </c>
      <c r="F702" s="9">
        <v>16</v>
      </c>
      <c r="G702" s="9">
        <v>0</v>
      </c>
      <c r="H702" s="9">
        <v>0</v>
      </c>
      <c r="I702" s="9">
        <v>0</v>
      </c>
      <c r="J702" s="9">
        <v>0</v>
      </c>
      <c r="K702" s="9">
        <v>8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52</v>
      </c>
      <c r="Y702" s="9">
        <v>0</v>
      </c>
      <c r="Z702" s="9">
        <v>0</v>
      </c>
      <c r="AA702" s="9">
        <v>24</v>
      </c>
    </row>
    <row r="703" spans="1:27" x14ac:dyDescent="0.25">
      <c r="A703" s="9" t="s">
        <v>37</v>
      </c>
      <c r="B703" s="9" t="s">
        <v>32</v>
      </c>
      <c r="D703" s="9">
        <v>0</v>
      </c>
      <c r="E703" s="9">
        <v>0</v>
      </c>
      <c r="F703" s="9">
        <v>12</v>
      </c>
      <c r="G703" s="9">
        <v>0</v>
      </c>
      <c r="H703" s="9">
        <v>0</v>
      </c>
      <c r="I703" s="9">
        <v>0</v>
      </c>
      <c r="J703" s="9">
        <v>0</v>
      </c>
      <c r="K703" s="9">
        <v>4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4</v>
      </c>
      <c r="Z703" s="9">
        <v>80</v>
      </c>
      <c r="AA703" s="9">
        <v>0</v>
      </c>
    </row>
    <row r="704" spans="1:27" x14ac:dyDescent="0.25">
      <c r="A704" s="9" t="s">
        <v>37</v>
      </c>
      <c r="B704" s="9" t="s">
        <v>32</v>
      </c>
      <c r="D704" s="9">
        <v>0</v>
      </c>
      <c r="E704" s="9">
        <v>0</v>
      </c>
      <c r="F704" s="9">
        <v>8</v>
      </c>
      <c r="G704" s="9">
        <v>0</v>
      </c>
      <c r="H704" s="9">
        <v>0</v>
      </c>
      <c r="I704" s="9">
        <v>0</v>
      </c>
      <c r="J704" s="9">
        <v>0</v>
      </c>
      <c r="K704" s="9">
        <v>4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  <c r="R704" s="9">
        <v>4</v>
      </c>
      <c r="S704" s="9">
        <v>0</v>
      </c>
      <c r="T704" s="9">
        <v>0</v>
      </c>
      <c r="U704" s="9">
        <v>0</v>
      </c>
      <c r="V704" s="9">
        <v>0</v>
      </c>
      <c r="W704" s="9">
        <v>0</v>
      </c>
      <c r="X704" s="9">
        <v>28</v>
      </c>
      <c r="Y704" s="9">
        <v>12</v>
      </c>
      <c r="Z704" s="9">
        <v>44</v>
      </c>
      <c r="AA704" s="9">
        <v>0</v>
      </c>
    </row>
    <row r="705" spans="1:27" x14ac:dyDescent="0.25">
      <c r="A705" s="9" t="s">
        <v>37</v>
      </c>
      <c r="B705" s="9" t="s">
        <v>32</v>
      </c>
      <c r="D705" s="9">
        <v>0</v>
      </c>
      <c r="E705" s="9">
        <v>0</v>
      </c>
      <c r="F705" s="9">
        <v>12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>
        <v>0</v>
      </c>
      <c r="X705" s="9">
        <v>12</v>
      </c>
      <c r="Y705" s="9">
        <v>0</v>
      </c>
      <c r="Z705" s="9">
        <v>76</v>
      </c>
      <c r="AA705" s="9">
        <v>0</v>
      </c>
    </row>
    <row r="706" spans="1:27" x14ac:dyDescent="0.25">
      <c r="A706" s="9" t="s">
        <v>37</v>
      </c>
      <c r="B706" s="9" t="s">
        <v>32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4</v>
      </c>
      <c r="P706" s="9">
        <v>0</v>
      </c>
      <c r="Q706" s="9">
        <v>0</v>
      </c>
      <c r="R706" s="9">
        <v>0</v>
      </c>
      <c r="S706" s="9">
        <v>0</v>
      </c>
      <c r="T706" s="9">
        <v>32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9">
        <v>64</v>
      </c>
      <c r="AA706" s="9">
        <v>0</v>
      </c>
    </row>
    <row r="707" spans="1:27" x14ac:dyDescent="0.25">
      <c r="A707" s="9" t="s">
        <v>37</v>
      </c>
      <c r="B707" s="9" t="s">
        <v>32</v>
      </c>
      <c r="D707" s="9">
        <v>0</v>
      </c>
      <c r="E707" s="9">
        <v>0</v>
      </c>
      <c r="F707" s="9">
        <v>16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>
        <v>0</v>
      </c>
      <c r="X707" s="9">
        <v>20</v>
      </c>
      <c r="Y707" s="9">
        <v>0</v>
      </c>
      <c r="Z707" s="9">
        <v>40</v>
      </c>
      <c r="AA707" s="9">
        <v>24</v>
      </c>
    </row>
    <row r="708" spans="1:27" x14ac:dyDescent="0.25">
      <c r="A708" s="9" t="s">
        <v>37</v>
      </c>
      <c r="B708" s="9" t="s">
        <v>32</v>
      </c>
      <c r="D708" s="9">
        <v>0</v>
      </c>
      <c r="E708" s="9">
        <v>0</v>
      </c>
      <c r="F708" s="9">
        <v>12</v>
      </c>
      <c r="G708" s="9">
        <v>0</v>
      </c>
      <c r="H708" s="9">
        <v>0</v>
      </c>
      <c r="I708" s="9">
        <v>0</v>
      </c>
      <c r="J708" s="9">
        <v>0</v>
      </c>
      <c r="K708" s="9">
        <v>8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>
        <v>0</v>
      </c>
      <c r="X708" s="9">
        <v>4</v>
      </c>
      <c r="Y708" s="9">
        <v>0</v>
      </c>
      <c r="Z708" s="9">
        <v>40</v>
      </c>
      <c r="AA708" s="9">
        <v>36</v>
      </c>
    </row>
    <row r="709" spans="1:27" x14ac:dyDescent="0.25">
      <c r="A709" s="9" t="s">
        <v>37</v>
      </c>
      <c r="B709" s="9" t="s">
        <v>32</v>
      </c>
      <c r="D709" s="9">
        <v>0</v>
      </c>
      <c r="E709" s="9">
        <v>0</v>
      </c>
      <c r="F709" s="9">
        <v>8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0</v>
      </c>
      <c r="X709" s="9">
        <v>4</v>
      </c>
      <c r="Y709" s="9">
        <v>8</v>
      </c>
      <c r="Z709" s="9">
        <v>76</v>
      </c>
      <c r="AA709" s="9">
        <v>4</v>
      </c>
    </row>
    <row r="710" spans="1:27" x14ac:dyDescent="0.25">
      <c r="A710" s="9" t="s">
        <v>37</v>
      </c>
      <c r="B710" s="9" t="s">
        <v>32</v>
      </c>
      <c r="D710" s="9">
        <v>0</v>
      </c>
      <c r="E710" s="9">
        <v>0</v>
      </c>
      <c r="F710" s="9">
        <v>24</v>
      </c>
      <c r="G710" s="9">
        <v>0</v>
      </c>
      <c r="H710" s="9">
        <v>0</v>
      </c>
      <c r="I710" s="9">
        <v>0</v>
      </c>
      <c r="J710" s="9">
        <v>0</v>
      </c>
      <c r="K710" s="9">
        <v>4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0</v>
      </c>
      <c r="X710" s="9">
        <v>28</v>
      </c>
      <c r="Y710" s="9">
        <v>4</v>
      </c>
      <c r="Z710" s="9">
        <v>28</v>
      </c>
      <c r="AA710" s="9">
        <v>12</v>
      </c>
    </row>
    <row r="711" spans="1:27" x14ac:dyDescent="0.25">
      <c r="A711" s="9" t="s">
        <v>37</v>
      </c>
      <c r="B711" s="9" t="s">
        <v>32</v>
      </c>
      <c r="D711" s="9">
        <v>0</v>
      </c>
      <c r="E711" s="9">
        <v>0</v>
      </c>
      <c r="F711" s="9">
        <v>4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>
        <v>0</v>
      </c>
      <c r="X711" s="9">
        <v>12</v>
      </c>
      <c r="Y711" s="9">
        <v>0</v>
      </c>
      <c r="Z711" s="9">
        <v>80</v>
      </c>
      <c r="AA711" s="9">
        <v>4</v>
      </c>
    </row>
    <row r="712" spans="1:27" x14ac:dyDescent="0.25">
      <c r="A712" s="9" t="s">
        <v>37</v>
      </c>
      <c r="B712" s="9" t="s">
        <v>32</v>
      </c>
      <c r="D712" s="9">
        <v>0</v>
      </c>
      <c r="E712" s="9">
        <v>0</v>
      </c>
      <c r="F712" s="9">
        <v>8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9">
        <v>0</v>
      </c>
      <c r="X712" s="9">
        <v>0</v>
      </c>
      <c r="Y712" s="9">
        <v>4</v>
      </c>
      <c r="Z712" s="9">
        <v>84</v>
      </c>
      <c r="AA712" s="9">
        <v>4</v>
      </c>
    </row>
    <row r="713" spans="1:27" x14ac:dyDescent="0.25">
      <c r="A713" s="9" t="s">
        <v>37</v>
      </c>
      <c r="B713" s="9" t="s">
        <v>32</v>
      </c>
      <c r="D713" s="9">
        <v>8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12</v>
      </c>
      <c r="S713" s="9">
        <v>0</v>
      </c>
      <c r="T713" s="9">
        <v>0</v>
      </c>
      <c r="U713" s="9">
        <v>0</v>
      </c>
      <c r="V713" s="9">
        <v>0</v>
      </c>
      <c r="W713" s="9">
        <v>0</v>
      </c>
      <c r="X713" s="9">
        <v>4</v>
      </c>
      <c r="Y713" s="9">
        <v>0</v>
      </c>
      <c r="Z713" s="9">
        <v>76</v>
      </c>
      <c r="AA713" s="9">
        <v>0</v>
      </c>
    </row>
    <row r="714" spans="1:27" x14ac:dyDescent="0.25">
      <c r="A714" s="9" t="s">
        <v>37</v>
      </c>
      <c r="B714" s="9" t="s">
        <v>32</v>
      </c>
      <c r="D714" s="9">
        <v>0</v>
      </c>
      <c r="E714" s="9">
        <v>0</v>
      </c>
      <c r="F714" s="9">
        <v>16</v>
      </c>
      <c r="G714" s="9">
        <v>0</v>
      </c>
      <c r="H714" s="9">
        <v>0</v>
      </c>
      <c r="I714" s="9">
        <v>0</v>
      </c>
      <c r="J714" s="9">
        <v>0</v>
      </c>
      <c r="K714" s="9">
        <v>8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  <c r="W714" s="9">
        <v>0</v>
      </c>
      <c r="X714" s="9">
        <v>12</v>
      </c>
      <c r="Y714" s="9">
        <v>0</v>
      </c>
      <c r="Z714" s="9">
        <v>32</v>
      </c>
      <c r="AA714" s="9">
        <v>32</v>
      </c>
    </row>
    <row r="715" spans="1:27" x14ac:dyDescent="0.25">
      <c r="A715" s="9" t="s">
        <v>37</v>
      </c>
      <c r="B715" s="9" t="s">
        <v>32</v>
      </c>
      <c r="D715" s="9">
        <v>0</v>
      </c>
      <c r="E715" s="9">
        <v>0</v>
      </c>
      <c r="F715" s="9">
        <v>16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32</v>
      </c>
      <c r="Y715" s="9">
        <v>4</v>
      </c>
      <c r="Z715" s="9">
        <v>20</v>
      </c>
      <c r="AA715" s="9">
        <v>28</v>
      </c>
    </row>
    <row r="716" spans="1:27" x14ac:dyDescent="0.25">
      <c r="A716" s="9" t="s">
        <v>37</v>
      </c>
      <c r="B716" s="9" t="s">
        <v>32</v>
      </c>
      <c r="D716" s="9">
        <v>0</v>
      </c>
      <c r="E716" s="9">
        <v>0</v>
      </c>
      <c r="F716" s="9">
        <v>16</v>
      </c>
      <c r="G716" s="9">
        <v>0</v>
      </c>
      <c r="H716" s="9">
        <v>0</v>
      </c>
      <c r="I716" s="9">
        <v>0</v>
      </c>
      <c r="J716" s="9">
        <v>0</v>
      </c>
      <c r="K716" s="9">
        <v>4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>
        <v>0</v>
      </c>
      <c r="X716" s="9">
        <v>28</v>
      </c>
      <c r="Y716" s="9">
        <v>4</v>
      </c>
      <c r="Z716" s="9">
        <v>32</v>
      </c>
      <c r="AA716" s="9">
        <v>16</v>
      </c>
    </row>
    <row r="717" spans="1:27" s="10" customFormat="1" x14ac:dyDescent="0.25">
      <c r="A717" s="10" t="s">
        <v>37</v>
      </c>
      <c r="B717" s="10" t="s">
        <v>32</v>
      </c>
      <c r="C717" s="10" t="s">
        <v>84</v>
      </c>
      <c r="D717" s="10">
        <v>0.53333333333333299</v>
      </c>
      <c r="E717" s="10">
        <v>0</v>
      </c>
      <c r="F717" s="10">
        <v>11.2</v>
      </c>
      <c r="G717" s="10">
        <v>0</v>
      </c>
      <c r="H717" s="10">
        <v>0</v>
      </c>
      <c r="I717" s="10">
        <v>0</v>
      </c>
      <c r="J717" s="10">
        <v>0</v>
      </c>
      <c r="K717" s="10">
        <v>2.6666666666666701</v>
      </c>
      <c r="L717" s="10">
        <v>0</v>
      </c>
      <c r="M717" s="10">
        <v>0</v>
      </c>
      <c r="N717" s="10">
        <v>0</v>
      </c>
      <c r="O717" s="10">
        <v>0.266666666666667</v>
      </c>
      <c r="P717" s="10">
        <v>0</v>
      </c>
      <c r="Q717" s="10">
        <v>0</v>
      </c>
      <c r="R717" s="10">
        <v>1.06666666666667</v>
      </c>
      <c r="S717" s="10">
        <v>0</v>
      </c>
      <c r="T717" s="10">
        <v>2.1333333333333302</v>
      </c>
      <c r="U717" s="10">
        <v>0</v>
      </c>
      <c r="V717" s="10">
        <v>0</v>
      </c>
      <c r="W717" s="10">
        <v>0</v>
      </c>
      <c r="X717" s="10">
        <v>15.733333333333301</v>
      </c>
      <c r="Y717" s="10">
        <v>2.6666666666666701</v>
      </c>
      <c r="Z717" s="10">
        <v>51.466666666666697</v>
      </c>
      <c r="AA717" s="10">
        <v>12.266666666666699</v>
      </c>
    </row>
    <row r="718" spans="1:27" s="10" customFormat="1" x14ac:dyDescent="0.25">
      <c r="A718" s="10" t="s">
        <v>37</v>
      </c>
      <c r="B718" s="10" t="s">
        <v>32</v>
      </c>
      <c r="C718" s="10" t="s">
        <v>83</v>
      </c>
      <c r="D718" s="10">
        <v>2.0655911179772901</v>
      </c>
      <c r="E718" s="10">
        <v>0</v>
      </c>
      <c r="F718" s="10">
        <v>6.6246293696866001</v>
      </c>
      <c r="G718" s="10">
        <v>0</v>
      </c>
      <c r="H718" s="10">
        <v>0</v>
      </c>
      <c r="I718" s="10">
        <v>0</v>
      </c>
      <c r="J718" s="10">
        <v>0</v>
      </c>
      <c r="K718" s="10">
        <v>3.2659863237109001</v>
      </c>
      <c r="L718" s="10">
        <v>0</v>
      </c>
      <c r="M718" s="10">
        <v>0</v>
      </c>
      <c r="N718" s="10">
        <v>0</v>
      </c>
      <c r="O718" s="10">
        <v>1.03279555898864</v>
      </c>
      <c r="P718" s="10">
        <v>0</v>
      </c>
      <c r="Q718" s="10">
        <v>0</v>
      </c>
      <c r="R718" s="10">
        <v>3.1952345468719199</v>
      </c>
      <c r="S718" s="10">
        <v>0</v>
      </c>
      <c r="T718" s="10">
        <v>8.2623644719091605</v>
      </c>
      <c r="U718" s="10">
        <v>0</v>
      </c>
      <c r="V718" s="10">
        <v>0</v>
      </c>
      <c r="W718" s="10">
        <v>0</v>
      </c>
      <c r="X718" s="10">
        <v>15.229044931439701</v>
      </c>
      <c r="Y718" s="10">
        <v>3.5989416433697499</v>
      </c>
      <c r="Z718" s="10">
        <v>26.613279893065901</v>
      </c>
      <c r="AA718" s="10">
        <v>13.2204747411336</v>
      </c>
    </row>
    <row r="719" spans="1:27" s="10" customFormat="1" x14ac:dyDescent="0.25">
      <c r="A719" s="10" t="s">
        <v>37</v>
      </c>
      <c r="B719" s="10" t="s">
        <v>32</v>
      </c>
      <c r="C719" s="10" t="s">
        <v>82</v>
      </c>
      <c r="D719" s="10">
        <v>0</v>
      </c>
      <c r="E719" s="10">
        <v>0</v>
      </c>
      <c r="F719" s="10">
        <v>12</v>
      </c>
      <c r="G719" s="10">
        <v>0</v>
      </c>
      <c r="H719" s="10">
        <v>0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12</v>
      </c>
      <c r="Y719" s="10">
        <v>0</v>
      </c>
      <c r="Z719" s="10">
        <v>44</v>
      </c>
      <c r="AA719" s="10">
        <v>4</v>
      </c>
    </row>
    <row r="720" spans="1:27" s="10" customFormat="1" x14ac:dyDescent="0.25">
      <c r="A720" s="10" t="s">
        <v>37</v>
      </c>
      <c r="B720" s="10" t="s">
        <v>32</v>
      </c>
      <c r="C720" s="10" t="s">
        <v>81</v>
      </c>
      <c r="D720" s="10">
        <v>0</v>
      </c>
      <c r="E720" s="10">
        <v>0</v>
      </c>
      <c r="F720" s="10">
        <v>8</v>
      </c>
      <c r="G720" s="10">
        <v>0</v>
      </c>
      <c r="H720" s="10">
        <v>0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4</v>
      </c>
      <c r="Y720" s="10">
        <v>0</v>
      </c>
      <c r="Z720" s="10">
        <v>32</v>
      </c>
      <c r="AA720" s="10">
        <v>0</v>
      </c>
    </row>
    <row r="721" spans="1:27" s="10" customFormat="1" x14ac:dyDescent="0.25">
      <c r="A721" s="10" t="s">
        <v>37</v>
      </c>
      <c r="B721" s="10" t="s">
        <v>32</v>
      </c>
      <c r="C721" s="10" t="s">
        <v>80</v>
      </c>
      <c r="D721" s="10">
        <v>0</v>
      </c>
      <c r="E721" s="10">
        <v>0</v>
      </c>
      <c r="F721" s="10">
        <v>16</v>
      </c>
      <c r="G721" s="10">
        <v>0</v>
      </c>
      <c r="H721" s="10">
        <v>0</v>
      </c>
      <c r="I721" s="10">
        <v>0</v>
      </c>
      <c r="J721" s="10">
        <v>0</v>
      </c>
      <c r="K721" s="10">
        <v>4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28</v>
      </c>
      <c r="Y721" s="10">
        <v>4</v>
      </c>
      <c r="Z721" s="10">
        <v>76</v>
      </c>
      <c r="AA721" s="10">
        <v>24</v>
      </c>
    </row>
    <row r="722" spans="1:27" x14ac:dyDescent="0.25">
      <c r="A722" s="9" t="s">
        <v>38</v>
      </c>
      <c r="B722" s="9" t="s">
        <v>27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4</v>
      </c>
      <c r="S722" s="9">
        <v>0</v>
      </c>
      <c r="T722" s="9">
        <v>40</v>
      </c>
      <c r="U722" s="9">
        <v>0</v>
      </c>
      <c r="V722" s="9">
        <v>0</v>
      </c>
      <c r="W722" s="9">
        <v>0</v>
      </c>
      <c r="X722" s="9">
        <v>4</v>
      </c>
      <c r="Y722" s="9">
        <v>0</v>
      </c>
      <c r="Z722" s="9">
        <v>32</v>
      </c>
      <c r="AA722" s="9">
        <v>20</v>
      </c>
    </row>
    <row r="723" spans="1:27" x14ac:dyDescent="0.25">
      <c r="A723" s="9" t="s">
        <v>38</v>
      </c>
      <c r="B723" s="9" t="s">
        <v>27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v>4</v>
      </c>
      <c r="R723" s="9">
        <v>0</v>
      </c>
      <c r="S723" s="9">
        <v>0</v>
      </c>
      <c r="T723" s="9">
        <v>28</v>
      </c>
      <c r="U723" s="9">
        <v>4</v>
      </c>
      <c r="V723" s="9">
        <v>0</v>
      </c>
      <c r="W723" s="9">
        <v>0</v>
      </c>
      <c r="X723" s="9">
        <v>4</v>
      </c>
      <c r="Y723" s="9">
        <v>0</v>
      </c>
      <c r="Z723" s="9">
        <v>52</v>
      </c>
      <c r="AA723" s="9">
        <v>8</v>
      </c>
    </row>
    <row r="724" spans="1:27" x14ac:dyDescent="0.25">
      <c r="A724" s="9" t="s">
        <v>38</v>
      </c>
      <c r="B724" s="9" t="s">
        <v>27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9">
        <v>0</v>
      </c>
      <c r="Y724" s="9">
        <v>0</v>
      </c>
      <c r="Z724" s="9">
        <v>80</v>
      </c>
      <c r="AA724" s="9">
        <v>20</v>
      </c>
    </row>
    <row r="725" spans="1:27" x14ac:dyDescent="0.25">
      <c r="A725" s="9" t="s">
        <v>38</v>
      </c>
      <c r="B725" s="9" t="s">
        <v>27</v>
      </c>
      <c r="D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9">
        <v>0</v>
      </c>
      <c r="R725" s="9">
        <v>0</v>
      </c>
      <c r="S725" s="9">
        <v>0</v>
      </c>
      <c r="T725" s="9">
        <v>8</v>
      </c>
      <c r="U725" s="9">
        <v>4</v>
      </c>
      <c r="V725" s="9">
        <v>0</v>
      </c>
      <c r="W725" s="9">
        <v>0</v>
      </c>
      <c r="X725" s="9">
        <v>0</v>
      </c>
      <c r="Y725" s="9">
        <v>0</v>
      </c>
      <c r="Z725" s="9">
        <v>76</v>
      </c>
      <c r="AA725" s="9">
        <v>12</v>
      </c>
    </row>
    <row r="726" spans="1:27" x14ac:dyDescent="0.25">
      <c r="A726" s="9" t="s">
        <v>38</v>
      </c>
      <c r="B726" s="9" t="s">
        <v>27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8</v>
      </c>
      <c r="S726" s="9">
        <v>0</v>
      </c>
      <c r="T726" s="9">
        <v>8</v>
      </c>
      <c r="U726" s="9">
        <v>0</v>
      </c>
      <c r="V726" s="9">
        <v>0</v>
      </c>
      <c r="W726" s="9">
        <v>0</v>
      </c>
      <c r="X726" s="9">
        <v>0</v>
      </c>
      <c r="Y726" s="9">
        <v>0</v>
      </c>
      <c r="Z726" s="9">
        <v>76</v>
      </c>
      <c r="AA726" s="9">
        <v>8</v>
      </c>
    </row>
    <row r="727" spans="1:27" x14ac:dyDescent="0.25">
      <c r="A727" s="9" t="s">
        <v>38</v>
      </c>
      <c r="B727" s="9" t="s">
        <v>27</v>
      </c>
      <c r="D727" s="9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28</v>
      </c>
      <c r="R727" s="9">
        <v>4</v>
      </c>
      <c r="S727" s="9">
        <v>0</v>
      </c>
      <c r="T727" s="9">
        <v>4</v>
      </c>
      <c r="U727" s="9">
        <v>0</v>
      </c>
      <c r="V727" s="9">
        <v>0</v>
      </c>
      <c r="W727" s="9">
        <v>0</v>
      </c>
      <c r="X727" s="9">
        <v>12</v>
      </c>
      <c r="Y727" s="9">
        <v>0</v>
      </c>
      <c r="Z727" s="9">
        <v>52</v>
      </c>
      <c r="AA727" s="9">
        <v>0</v>
      </c>
    </row>
    <row r="728" spans="1:27" x14ac:dyDescent="0.25">
      <c r="A728" s="9" t="s">
        <v>38</v>
      </c>
      <c r="B728" s="9" t="s">
        <v>27</v>
      </c>
      <c r="D728" s="9">
        <v>0</v>
      </c>
      <c r="E728" s="9">
        <v>0</v>
      </c>
      <c r="F728" s="9">
        <v>0</v>
      </c>
      <c r="G728" s="9">
        <v>0</v>
      </c>
      <c r="H728" s="9">
        <v>4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 s="9">
        <v>0</v>
      </c>
      <c r="T728" s="9">
        <v>8</v>
      </c>
      <c r="U728" s="9">
        <v>4</v>
      </c>
      <c r="V728" s="9">
        <v>0</v>
      </c>
      <c r="W728" s="9">
        <v>0</v>
      </c>
      <c r="X728" s="9">
        <v>0</v>
      </c>
      <c r="Y728" s="9">
        <v>0</v>
      </c>
      <c r="Z728" s="9">
        <v>76</v>
      </c>
      <c r="AA728" s="9">
        <v>8</v>
      </c>
    </row>
    <row r="729" spans="1:27" x14ac:dyDescent="0.25">
      <c r="A729" s="9" t="s">
        <v>38</v>
      </c>
      <c r="B729" s="9" t="s">
        <v>27</v>
      </c>
      <c r="D729" s="9">
        <v>0</v>
      </c>
      <c r="E729" s="9">
        <v>0</v>
      </c>
      <c r="F729" s="9">
        <v>0</v>
      </c>
      <c r="G729" s="9">
        <v>4</v>
      </c>
      <c r="H729" s="9">
        <v>0</v>
      </c>
      <c r="I729" s="9">
        <v>0</v>
      </c>
      <c r="J729" s="9">
        <v>0</v>
      </c>
      <c r="K729" s="9">
        <v>4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v>0</v>
      </c>
      <c r="R729" s="9">
        <v>0</v>
      </c>
      <c r="S729" s="9">
        <v>0</v>
      </c>
      <c r="T729" s="9">
        <v>4</v>
      </c>
      <c r="U729" s="9">
        <v>0</v>
      </c>
      <c r="V729" s="9">
        <v>0</v>
      </c>
      <c r="W729" s="9">
        <v>0</v>
      </c>
      <c r="X729" s="9">
        <v>4</v>
      </c>
      <c r="Y729" s="9">
        <v>0</v>
      </c>
      <c r="Z729" s="9">
        <v>60</v>
      </c>
      <c r="AA729" s="9">
        <v>24</v>
      </c>
    </row>
    <row r="730" spans="1:27" x14ac:dyDescent="0.25">
      <c r="A730" s="9" t="s">
        <v>38</v>
      </c>
      <c r="B730" s="9" t="s">
        <v>27</v>
      </c>
      <c r="D730" s="9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  <c r="O730" s="9">
        <v>12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4</v>
      </c>
      <c r="Y730" s="9">
        <v>0</v>
      </c>
      <c r="Z730" s="9">
        <v>64</v>
      </c>
      <c r="AA730" s="9">
        <v>20</v>
      </c>
    </row>
    <row r="731" spans="1:27" x14ac:dyDescent="0.25">
      <c r="A731" s="9" t="s">
        <v>38</v>
      </c>
      <c r="B731" s="9" t="s">
        <v>27</v>
      </c>
      <c r="D731" s="9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 s="9">
        <v>0</v>
      </c>
      <c r="T731" s="9">
        <v>16</v>
      </c>
      <c r="U731" s="9">
        <v>16</v>
      </c>
      <c r="V731" s="9">
        <v>0</v>
      </c>
      <c r="W731" s="9">
        <v>0</v>
      </c>
      <c r="X731" s="9">
        <v>0</v>
      </c>
      <c r="Y731" s="9">
        <v>0</v>
      </c>
      <c r="Z731" s="9">
        <v>40</v>
      </c>
      <c r="AA731" s="9">
        <v>28</v>
      </c>
    </row>
    <row r="732" spans="1:27" x14ac:dyDescent="0.25">
      <c r="A732" s="9" t="s">
        <v>38</v>
      </c>
      <c r="B732" s="9" t="s">
        <v>27</v>
      </c>
      <c r="D732" s="9">
        <v>0</v>
      </c>
      <c r="E732" s="9">
        <v>0</v>
      </c>
      <c r="F732" s="9">
        <v>0</v>
      </c>
      <c r="G732" s="9">
        <v>0</v>
      </c>
      <c r="H732" s="9">
        <v>4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12</v>
      </c>
      <c r="U732" s="9">
        <v>8</v>
      </c>
      <c r="V732" s="9">
        <v>0</v>
      </c>
      <c r="W732" s="9">
        <v>0</v>
      </c>
      <c r="X732" s="9">
        <v>4</v>
      </c>
      <c r="Y732" s="9">
        <v>0</v>
      </c>
      <c r="Z732" s="9">
        <v>56</v>
      </c>
      <c r="AA732" s="9">
        <v>16</v>
      </c>
    </row>
    <row r="733" spans="1:27" x14ac:dyDescent="0.25">
      <c r="A733" s="9" t="s">
        <v>38</v>
      </c>
      <c r="B733" s="9" t="s">
        <v>27</v>
      </c>
      <c r="D733" s="9">
        <v>0</v>
      </c>
      <c r="E733" s="9">
        <v>0</v>
      </c>
      <c r="F733" s="9">
        <v>0</v>
      </c>
      <c r="G733" s="9">
        <v>0</v>
      </c>
      <c r="H733" s="9">
        <v>8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4</v>
      </c>
      <c r="S733" s="9">
        <v>0</v>
      </c>
      <c r="T733" s="9">
        <v>4</v>
      </c>
      <c r="U733" s="9">
        <v>12</v>
      </c>
      <c r="V733" s="9">
        <v>0</v>
      </c>
      <c r="W733" s="9">
        <v>0</v>
      </c>
      <c r="X733" s="9">
        <v>12</v>
      </c>
      <c r="Y733" s="9">
        <v>0</v>
      </c>
      <c r="Z733" s="9">
        <v>40</v>
      </c>
      <c r="AA733" s="9">
        <v>20</v>
      </c>
    </row>
    <row r="734" spans="1:27" x14ac:dyDescent="0.25">
      <c r="A734" s="9" t="s">
        <v>38</v>
      </c>
      <c r="B734" s="9" t="s">
        <v>27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4</v>
      </c>
      <c r="O734" s="9">
        <v>0</v>
      </c>
      <c r="P734" s="9">
        <v>4</v>
      </c>
      <c r="Q734" s="9">
        <v>12</v>
      </c>
      <c r="R734" s="9">
        <v>4</v>
      </c>
      <c r="S734" s="9">
        <v>0</v>
      </c>
      <c r="T734" s="9">
        <v>0</v>
      </c>
      <c r="U734" s="9">
        <v>0</v>
      </c>
      <c r="V734" s="9">
        <v>0</v>
      </c>
      <c r="W734" s="9">
        <v>0</v>
      </c>
      <c r="X734" s="9">
        <v>12</v>
      </c>
      <c r="Y734" s="9">
        <v>0</v>
      </c>
      <c r="Z734" s="9">
        <v>56</v>
      </c>
      <c r="AA734" s="9">
        <v>8</v>
      </c>
    </row>
    <row r="735" spans="1:27" x14ac:dyDescent="0.25">
      <c r="A735" s="9" t="s">
        <v>38</v>
      </c>
      <c r="B735" s="9" t="s">
        <v>27</v>
      </c>
      <c r="D735" s="9">
        <v>0</v>
      </c>
      <c r="E735" s="9">
        <v>0</v>
      </c>
      <c r="F735" s="9">
        <v>12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  <c r="R735" s="9">
        <v>4</v>
      </c>
      <c r="S735" s="9">
        <v>0</v>
      </c>
      <c r="T735" s="9">
        <v>4</v>
      </c>
      <c r="U735" s="9">
        <v>4</v>
      </c>
      <c r="V735" s="9">
        <v>0</v>
      </c>
      <c r="W735" s="9">
        <v>0</v>
      </c>
      <c r="X735" s="9">
        <v>8</v>
      </c>
      <c r="Y735" s="9">
        <v>0</v>
      </c>
      <c r="Z735" s="9">
        <v>56</v>
      </c>
      <c r="AA735" s="9">
        <v>12</v>
      </c>
    </row>
    <row r="736" spans="1:27" x14ac:dyDescent="0.25">
      <c r="A736" s="9" t="s">
        <v>38</v>
      </c>
      <c r="B736" s="9" t="s">
        <v>27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4</v>
      </c>
      <c r="U736" s="9">
        <v>0</v>
      </c>
      <c r="V736" s="9">
        <v>0</v>
      </c>
      <c r="W736" s="9">
        <v>0</v>
      </c>
      <c r="X736" s="9">
        <v>4</v>
      </c>
      <c r="Y736" s="9">
        <v>0</v>
      </c>
      <c r="Z736" s="9">
        <v>72</v>
      </c>
      <c r="AA736" s="9">
        <v>20</v>
      </c>
    </row>
    <row r="737" spans="1:27" s="10" customFormat="1" x14ac:dyDescent="0.25">
      <c r="A737" s="10" t="s">
        <v>38</v>
      </c>
      <c r="B737" s="10" t="s">
        <v>27</v>
      </c>
      <c r="C737" s="10" t="s">
        <v>84</v>
      </c>
      <c r="D737" s="10">
        <v>0</v>
      </c>
      <c r="E737" s="10">
        <v>0</v>
      </c>
      <c r="F737" s="10">
        <v>0.8</v>
      </c>
      <c r="G737" s="10">
        <v>0.266666666666667</v>
      </c>
      <c r="H737" s="10">
        <v>1.06666666666667</v>
      </c>
      <c r="I737" s="10">
        <v>0</v>
      </c>
      <c r="J737" s="10">
        <v>0</v>
      </c>
      <c r="K737" s="10">
        <v>0.266666666666667</v>
      </c>
      <c r="L737" s="10">
        <v>0</v>
      </c>
      <c r="M737" s="10">
        <v>0</v>
      </c>
      <c r="N737" s="10">
        <v>0.266666666666667</v>
      </c>
      <c r="O737" s="10">
        <v>0.8</v>
      </c>
      <c r="P737" s="10">
        <v>0.266666666666667</v>
      </c>
      <c r="Q737" s="10">
        <v>2.93333333333333</v>
      </c>
      <c r="R737" s="10">
        <v>1.86666666666667</v>
      </c>
      <c r="S737" s="10">
        <v>0</v>
      </c>
      <c r="T737" s="10">
        <v>9.3333333333333304</v>
      </c>
      <c r="U737" s="10">
        <v>3.4666666666666699</v>
      </c>
      <c r="V737" s="10">
        <v>0</v>
      </c>
      <c r="W737" s="10">
        <v>0</v>
      </c>
      <c r="X737" s="10">
        <v>4.5333333333333297</v>
      </c>
      <c r="Y737" s="10">
        <v>0</v>
      </c>
      <c r="Z737" s="10">
        <v>59.2</v>
      </c>
      <c r="AA737" s="10">
        <v>14.9333333333333</v>
      </c>
    </row>
    <row r="738" spans="1:27" s="10" customFormat="1" x14ac:dyDescent="0.25">
      <c r="A738" s="10" t="s">
        <v>38</v>
      </c>
      <c r="B738" s="10" t="s">
        <v>27</v>
      </c>
      <c r="C738" s="10" t="s">
        <v>83</v>
      </c>
      <c r="D738" s="10">
        <v>0</v>
      </c>
      <c r="E738" s="10">
        <v>0</v>
      </c>
      <c r="F738" s="10">
        <v>3.0983866769659301</v>
      </c>
      <c r="G738" s="10">
        <v>1.03279555898864</v>
      </c>
      <c r="H738" s="10">
        <v>2.37446735881865</v>
      </c>
      <c r="I738" s="10">
        <v>0</v>
      </c>
      <c r="J738" s="10">
        <v>0</v>
      </c>
      <c r="K738" s="10">
        <v>1.03279555898864</v>
      </c>
      <c r="L738" s="10">
        <v>0</v>
      </c>
      <c r="M738" s="10">
        <v>0</v>
      </c>
      <c r="N738" s="10">
        <v>1.03279555898864</v>
      </c>
      <c r="O738" s="10">
        <v>3.0983866769659301</v>
      </c>
      <c r="P738" s="10">
        <v>1.03279555898864</v>
      </c>
      <c r="Q738" s="10">
        <v>7.6295166170291404</v>
      </c>
      <c r="R738" s="10">
        <v>2.5597618936887399</v>
      </c>
      <c r="S738" s="10">
        <v>0</v>
      </c>
      <c r="T738" s="10">
        <v>11.1782100960924</v>
      </c>
      <c r="U738" s="10">
        <v>4.9837832254317798</v>
      </c>
      <c r="V738" s="10">
        <v>0</v>
      </c>
      <c r="W738" s="10">
        <v>0</v>
      </c>
      <c r="X738" s="10">
        <v>4.5018514709691004</v>
      </c>
      <c r="Y738" s="10">
        <v>0</v>
      </c>
      <c r="Z738" s="10">
        <v>14.8285439030848</v>
      </c>
      <c r="AA738" s="10">
        <v>7.6295166170291404</v>
      </c>
    </row>
    <row r="739" spans="1:27" s="10" customFormat="1" x14ac:dyDescent="0.25">
      <c r="A739" s="10" t="s">
        <v>38</v>
      </c>
      <c r="B739" s="10" t="s">
        <v>27</v>
      </c>
      <c r="C739" s="10" t="s">
        <v>82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4</v>
      </c>
      <c r="U739" s="10">
        <v>0</v>
      </c>
      <c r="V739" s="10">
        <v>0</v>
      </c>
      <c r="W739" s="10">
        <v>0</v>
      </c>
      <c r="X739" s="10">
        <v>4</v>
      </c>
      <c r="Y739" s="10">
        <v>0</v>
      </c>
      <c r="Z739" s="10">
        <v>56</v>
      </c>
      <c r="AA739" s="10">
        <v>16</v>
      </c>
    </row>
    <row r="740" spans="1:27" s="10" customFormat="1" x14ac:dyDescent="0.25">
      <c r="A740" s="10" t="s">
        <v>38</v>
      </c>
      <c r="B740" s="10" t="s">
        <v>27</v>
      </c>
      <c r="C740" s="10" t="s">
        <v>81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4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52</v>
      </c>
      <c r="AA740" s="10">
        <v>8</v>
      </c>
    </row>
    <row r="741" spans="1:27" s="10" customFormat="1" x14ac:dyDescent="0.25">
      <c r="A741" s="10" t="s">
        <v>38</v>
      </c>
      <c r="B741" s="10" t="s">
        <v>27</v>
      </c>
      <c r="C741" s="10" t="s">
        <v>80</v>
      </c>
      <c r="D741" s="10">
        <v>0</v>
      </c>
      <c r="E741" s="10">
        <v>0</v>
      </c>
      <c r="F741" s="10">
        <v>0</v>
      </c>
      <c r="G741" s="10">
        <v>0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4</v>
      </c>
      <c r="S741" s="10">
        <v>0</v>
      </c>
      <c r="T741" s="10">
        <v>10</v>
      </c>
      <c r="U741" s="10">
        <v>4</v>
      </c>
      <c r="V741" s="10">
        <v>0</v>
      </c>
      <c r="W741" s="10">
        <v>0</v>
      </c>
      <c r="X741" s="10">
        <v>6</v>
      </c>
      <c r="Y741" s="10">
        <v>0</v>
      </c>
      <c r="Z741" s="10">
        <v>74</v>
      </c>
      <c r="AA741" s="10">
        <v>20</v>
      </c>
    </row>
    <row r="742" spans="1:27" x14ac:dyDescent="0.25">
      <c r="A742" s="9" t="s">
        <v>38</v>
      </c>
      <c r="B742" s="9" t="s">
        <v>28</v>
      </c>
      <c r="D742" s="9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4</v>
      </c>
      <c r="P742" s="9">
        <v>0</v>
      </c>
      <c r="Q742" s="9">
        <v>0</v>
      </c>
      <c r="R742" s="9">
        <v>0</v>
      </c>
      <c r="S742" s="9">
        <v>0</v>
      </c>
      <c r="T742" s="9">
        <v>4</v>
      </c>
      <c r="U742" s="9">
        <v>0</v>
      </c>
      <c r="V742" s="9">
        <v>0</v>
      </c>
      <c r="W742" s="9">
        <v>0</v>
      </c>
      <c r="X742" s="9">
        <v>0</v>
      </c>
      <c r="Y742" s="9">
        <v>0</v>
      </c>
      <c r="Z742" s="9">
        <v>92</v>
      </c>
      <c r="AA742" s="9">
        <v>0</v>
      </c>
    </row>
    <row r="743" spans="1:27" x14ac:dyDescent="0.25">
      <c r="A743" s="9" t="s">
        <v>38</v>
      </c>
      <c r="B743" s="9" t="s">
        <v>28</v>
      </c>
      <c r="D743" s="9">
        <v>0</v>
      </c>
      <c r="E743" s="9">
        <v>0</v>
      </c>
      <c r="F743" s="9">
        <v>12</v>
      </c>
      <c r="G743" s="9">
        <v>0</v>
      </c>
      <c r="H743" s="9">
        <v>4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0</v>
      </c>
      <c r="R743" s="9">
        <v>0</v>
      </c>
      <c r="S743" s="9">
        <v>0</v>
      </c>
      <c r="T743" s="9">
        <v>8</v>
      </c>
      <c r="U743" s="9">
        <v>0</v>
      </c>
      <c r="V743" s="9">
        <v>0</v>
      </c>
      <c r="W743" s="9">
        <v>0</v>
      </c>
      <c r="X743" s="9">
        <v>0</v>
      </c>
      <c r="Y743" s="9">
        <v>0</v>
      </c>
      <c r="Z743" s="9">
        <v>64</v>
      </c>
      <c r="AA743" s="9">
        <v>12</v>
      </c>
    </row>
    <row r="744" spans="1:27" x14ac:dyDescent="0.25">
      <c r="A744" s="9" t="s">
        <v>38</v>
      </c>
      <c r="B744" s="9" t="s">
        <v>28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9">
        <v>0</v>
      </c>
      <c r="W744" s="9">
        <v>0</v>
      </c>
      <c r="X744" s="9">
        <v>0</v>
      </c>
      <c r="Y744" s="9">
        <v>0</v>
      </c>
      <c r="Z744" s="9">
        <v>100</v>
      </c>
      <c r="AA744" s="9">
        <v>0</v>
      </c>
    </row>
    <row r="745" spans="1:27" x14ac:dyDescent="0.25">
      <c r="A745" s="9" t="s">
        <v>38</v>
      </c>
      <c r="B745" s="9" t="s">
        <v>28</v>
      </c>
      <c r="D745" s="9">
        <v>0</v>
      </c>
      <c r="E745" s="9">
        <v>0</v>
      </c>
      <c r="F745" s="9">
        <v>0</v>
      </c>
      <c r="G745" s="9">
        <v>0</v>
      </c>
      <c r="H745" s="9">
        <v>8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8</v>
      </c>
      <c r="O745" s="9">
        <v>4</v>
      </c>
      <c r="P745" s="9">
        <v>0</v>
      </c>
      <c r="Q745" s="9">
        <v>0</v>
      </c>
      <c r="R745" s="9">
        <v>4</v>
      </c>
      <c r="S745" s="9">
        <v>0</v>
      </c>
      <c r="T745" s="9">
        <v>4</v>
      </c>
      <c r="U745" s="9">
        <v>12</v>
      </c>
      <c r="V745" s="9">
        <v>0</v>
      </c>
      <c r="W745" s="9">
        <v>0</v>
      </c>
      <c r="X745" s="9">
        <v>12</v>
      </c>
      <c r="Y745" s="9">
        <v>4</v>
      </c>
      <c r="Z745" s="9">
        <v>24</v>
      </c>
      <c r="AA745" s="9">
        <v>20</v>
      </c>
    </row>
    <row r="746" spans="1:27" x14ac:dyDescent="0.25">
      <c r="A746" s="9" t="s">
        <v>38</v>
      </c>
      <c r="B746" s="9" t="s">
        <v>28</v>
      </c>
      <c r="D746" s="9">
        <v>0</v>
      </c>
      <c r="E746" s="9">
        <v>0</v>
      </c>
      <c r="F746" s="9">
        <v>0</v>
      </c>
      <c r="G746" s="9">
        <v>0</v>
      </c>
      <c r="H746" s="9">
        <v>4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4</v>
      </c>
      <c r="O746" s="9">
        <v>0</v>
      </c>
      <c r="P746" s="9">
        <v>0</v>
      </c>
      <c r="Q746" s="9">
        <v>8</v>
      </c>
      <c r="R746" s="9">
        <v>4</v>
      </c>
      <c r="S746" s="9">
        <v>0</v>
      </c>
      <c r="T746" s="9">
        <v>0</v>
      </c>
      <c r="U746" s="9">
        <v>16</v>
      </c>
      <c r="V746" s="9">
        <v>0</v>
      </c>
      <c r="W746" s="9">
        <v>0</v>
      </c>
      <c r="X746" s="9">
        <v>8</v>
      </c>
      <c r="Y746" s="9">
        <v>0</v>
      </c>
      <c r="Z746" s="9">
        <v>48</v>
      </c>
      <c r="AA746" s="9">
        <v>8</v>
      </c>
    </row>
    <row r="747" spans="1:27" x14ac:dyDescent="0.25">
      <c r="A747" s="9" t="s">
        <v>38</v>
      </c>
      <c r="B747" s="9" t="s">
        <v>28</v>
      </c>
      <c r="D747" s="9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P747" s="9">
        <v>0</v>
      </c>
      <c r="Q747" s="9">
        <v>4</v>
      </c>
      <c r="R747" s="9">
        <v>4</v>
      </c>
      <c r="S747" s="9">
        <v>0</v>
      </c>
      <c r="T747" s="9">
        <v>8</v>
      </c>
      <c r="U747" s="9">
        <v>0</v>
      </c>
      <c r="V747" s="9">
        <v>0</v>
      </c>
      <c r="W747" s="9">
        <v>0</v>
      </c>
      <c r="X747" s="9">
        <v>4</v>
      </c>
      <c r="Y747" s="9">
        <v>8</v>
      </c>
      <c r="Z747" s="9">
        <v>68</v>
      </c>
      <c r="AA747" s="9">
        <v>4</v>
      </c>
    </row>
    <row r="748" spans="1:27" x14ac:dyDescent="0.25">
      <c r="A748" s="9" t="s">
        <v>38</v>
      </c>
      <c r="B748" s="9" t="s">
        <v>28</v>
      </c>
      <c r="D748" s="9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32</v>
      </c>
      <c r="O748" s="9">
        <v>0</v>
      </c>
      <c r="P748" s="9">
        <v>0</v>
      </c>
      <c r="Q748" s="9">
        <v>12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  <c r="W748" s="9">
        <v>0</v>
      </c>
      <c r="X748" s="9">
        <v>0</v>
      </c>
      <c r="Y748" s="9">
        <v>4</v>
      </c>
      <c r="Z748" s="9">
        <v>48</v>
      </c>
      <c r="AA748" s="9">
        <v>4</v>
      </c>
    </row>
    <row r="749" spans="1:27" x14ac:dyDescent="0.25">
      <c r="A749" s="9" t="s">
        <v>38</v>
      </c>
      <c r="B749" s="9" t="s">
        <v>28</v>
      </c>
      <c r="D749" s="9">
        <v>0</v>
      </c>
      <c r="E749" s="9">
        <v>0</v>
      </c>
      <c r="F749" s="9">
        <v>0</v>
      </c>
      <c r="G749" s="9">
        <v>0</v>
      </c>
      <c r="H749" s="9">
        <v>8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9">
        <v>4</v>
      </c>
      <c r="O749" s="9">
        <v>0</v>
      </c>
      <c r="P749" s="9">
        <v>0</v>
      </c>
      <c r="Q749" s="9">
        <v>0</v>
      </c>
      <c r="R749" s="9">
        <v>4</v>
      </c>
      <c r="S749" s="9">
        <v>0</v>
      </c>
      <c r="T749" s="9">
        <v>4</v>
      </c>
      <c r="U749" s="9">
        <v>0</v>
      </c>
      <c r="V749" s="9">
        <v>0</v>
      </c>
      <c r="W749" s="9">
        <v>0</v>
      </c>
      <c r="X749" s="9">
        <v>24</v>
      </c>
      <c r="Y749" s="9">
        <v>12</v>
      </c>
      <c r="Z749" s="9">
        <v>40</v>
      </c>
      <c r="AA749" s="9">
        <v>4</v>
      </c>
    </row>
    <row r="750" spans="1:27" x14ac:dyDescent="0.25">
      <c r="A750" s="9" t="s">
        <v>38</v>
      </c>
      <c r="B750" s="9" t="s">
        <v>28</v>
      </c>
      <c r="D750" s="9">
        <v>0</v>
      </c>
      <c r="E750" s="9">
        <v>0</v>
      </c>
      <c r="F750" s="9">
        <v>8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4</v>
      </c>
      <c r="P750" s="9">
        <v>0</v>
      </c>
      <c r="Q750" s="9">
        <v>0</v>
      </c>
      <c r="R750" s="9">
        <v>4</v>
      </c>
      <c r="S750" s="9">
        <v>0</v>
      </c>
      <c r="T750" s="9">
        <v>4</v>
      </c>
      <c r="U750" s="9">
        <v>0</v>
      </c>
      <c r="V750" s="9">
        <v>0</v>
      </c>
      <c r="W750" s="9">
        <v>0</v>
      </c>
      <c r="X750" s="9">
        <v>0</v>
      </c>
      <c r="Y750" s="9">
        <v>0</v>
      </c>
      <c r="Z750" s="9">
        <v>72</v>
      </c>
      <c r="AA750" s="9">
        <v>8</v>
      </c>
    </row>
    <row r="751" spans="1:27" x14ac:dyDescent="0.25">
      <c r="A751" s="9" t="s">
        <v>38</v>
      </c>
      <c r="B751" s="9" t="s">
        <v>28</v>
      </c>
      <c r="D751" s="9">
        <v>0</v>
      </c>
      <c r="E751" s="9">
        <v>0</v>
      </c>
      <c r="F751" s="9">
        <v>0</v>
      </c>
      <c r="G751" s="9">
        <v>0</v>
      </c>
      <c r="H751" s="9">
        <v>8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9">
        <v>0</v>
      </c>
      <c r="Q751" s="9">
        <v>4</v>
      </c>
      <c r="R751" s="9">
        <v>0</v>
      </c>
      <c r="S751" s="9">
        <v>0</v>
      </c>
      <c r="T751" s="9">
        <v>0</v>
      </c>
      <c r="U751" s="9">
        <v>8</v>
      </c>
      <c r="V751" s="9">
        <v>0</v>
      </c>
      <c r="W751" s="9">
        <v>0</v>
      </c>
      <c r="X751" s="9">
        <v>12</v>
      </c>
      <c r="Y751" s="9">
        <v>0</v>
      </c>
      <c r="Z751" s="9">
        <v>64</v>
      </c>
      <c r="AA751" s="9">
        <v>4</v>
      </c>
    </row>
    <row r="752" spans="1:27" x14ac:dyDescent="0.25">
      <c r="A752" s="9" t="s">
        <v>38</v>
      </c>
      <c r="B752" s="9" t="s">
        <v>28</v>
      </c>
      <c r="D752" s="9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  <c r="Q752" s="9">
        <v>0</v>
      </c>
      <c r="R752" s="9">
        <v>4</v>
      </c>
      <c r="S752" s="9">
        <v>0</v>
      </c>
      <c r="T752" s="9">
        <v>0</v>
      </c>
      <c r="U752" s="9">
        <v>0</v>
      </c>
      <c r="V752" s="9">
        <v>0</v>
      </c>
      <c r="W752" s="9">
        <v>0</v>
      </c>
      <c r="X752" s="9">
        <v>4</v>
      </c>
      <c r="Y752" s="9">
        <v>0</v>
      </c>
      <c r="Z752" s="9">
        <v>92</v>
      </c>
      <c r="AA752" s="9">
        <v>0</v>
      </c>
    </row>
    <row r="753" spans="1:27" x14ac:dyDescent="0.25">
      <c r="A753" s="9" t="s">
        <v>38</v>
      </c>
      <c r="B753" s="9" t="s">
        <v>28</v>
      </c>
      <c r="D753" s="9">
        <v>0</v>
      </c>
      <c r="E753" s="9">
        <v>0</v>
      </c>
      <c r="F753" s="9">
        <v>0</v>
      </c>
      <c r="G753" s="9">
        <v>0</v>
      </c>
      <c r="H753" s="9">
        <v>4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4</v>
      </c>
      <c r="U753" s="9">
        <v>4</v>
      </c>
      <c r="V753" s="9">
        <v>0</v>
      </c>
      <c r="W753" s="9">
        <v>0</v>
      </c>
      <c r="X753" s="9">
        <v>0</v>
      </c>
      <c r="Y753" s="9">
        <v>0</v>
      </c>
      <c r="Z753" s="9">
        <v>76</v>
      </c>
      <c r="AA753" s="9">
        <v>12</v>
      </c>
    </row>
    <row r="754" spans="1:27" x14ac:dyDescent="0.25">
      <c r="A754" s="9" t="s">
        <v>38</v>
      </c>
      <c r="B754" s="9" t="s">
        <v>28</v>
      </c>
      <c r="D754" s="9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56</v>
      </c>
      <c r="U754" s="9">
        <v>8</v>
      </c>
      <c r="V754" s="9">
        <v>0</v>
      </c>
      <c r="W754" s="9">
        <v>0</v>
      </c>
      <c r="X754" s="9">
        <v>0</v>
      </c>
      <c r="Y754" s="9">
        <v>0</v>
      </c>
      <c r="Z754" s="9">
        <v>32</v>
      </c>
      <c r="AA754" s="9">
        <v>4</v>
      </c>
    </row>
    <row r="755" spans="1:27" x14ac:dyDescent="0.25">
      <c r="A755" s="9" t="s">
        <v>38</v>
      </c>
      <c r="B755" s="9" t="s">
        <v>28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P755" s="9">
        <v>0</v>
      </c>
      <c r="Q755" s="9">
        <v>0</v>
      </c>
      <c r="R755" s="9">
        <v>0</v>
      </c>
      <c r="S755" s="9">
        <v>0</v>
      </c>
      <c r="T755" s="9">
        <v>4</v>
      </c>
      <c r="U755" s="9">
        <v>4</v>
      </c>
      <c r="V755" s="9">
        <v>0</v>
      </c>
      <c r="W755" s="9">
        <v>0</v>
      </c>
      <c r="X755" s="9">
        <v>0</v>
      </c>
      <c r="Y755" s="9">
        <v>0</v>
      </c>
      <c r="Z755" s="9">
        <v>84</v>
      </c>
      <c r="AA755" s="9">
        <v>8</v>
      </c>
    </row>
    <row r="756" spans="1:27" x14ac:dyDescent="0.25">
      <c r="A756" s="9" t="s">
        <v>38</v>
      </c>
      <c r="B756" s="9" t="s">
        <v>28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  <c r="Q756" s="9">
        <v>0</v>
      </c>
      <c r="R756" s="9">
        <v>4</v>
      </c>
      <c r="S756" s="9">
        <v>0</v>
      </c>
      <c r="T756" s="9">
        <v>8</v>
      </c>
      <c r="U756" s="9">
        <v>0</v>
      </c>
      <c r="V756" s="9">
        <v>0</v>
      </c>
      <c r="W756" s="9">
        <v>0</v>
      </c>
      <c r="X756" s="9">
        <v>8</v>
      </c>
      <c r="Y756" s="9">
        <v>4</v>
      </c>
      <c r="Z756" s="9">
        <v>56</v>
      </c>
      <c r="AA756" s="9">
        <v>20</v>
      </c>
    </row>
    <row r="757" spans="1:27" s="10" customFormat="1" x14ac:dyDescent="0.25">
      <c r="A757" s="10" t="s">
        <v>38</v>
      </c>
      <c r="B757" s="10" t="s">
        <v>28</v>
      </c>
      <c r="C757" s="10" t="s">
        <v>84</v>
      </c>
      <c r="D757" s="10">
        <v>0</v>
      </c>
      <c r="E757" s="10">
        <v>0</v>
      </c>
      <c r="F757" s="10">
        <v>1.3333333333333299</v>
      </c>
      <c r="G757" s="10">
        <v>0</v>
      </c>
      <c r="H757" s="10">
        <v>2.4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3.2</v>
      </c>
      <c r="O757" s="10">
        <v>0.8</v>
      </c>
      <c r="P757" s="10">
        <v>0</v>
      </c>
      <c r="Q757" s="10">
        <v>1.86666666666667</v>
      </c>
      <c r="R757" s="10">
        <v>1.86666666666667</v>
      </c>
      <c r="S757" s="10">
        <v>0</v>
      </c>
      <c r="T757" s="10">
        <v>6.93333333333333</v>
      </c>
      <c r="U757" s="10">
        <v>3.4666666666666699</v>
      </c>
      <c r="V757" s="10">
        <v>0</v>
      </c>
      <c r="W757" s="10">
        <v>0</v>
      </c>
      <c r="X757" s="10">
        <v>4.8</v>
      </c>
      <c r="Y757" s="10">
        <v>2.1333333333333302</v>
      </c>
      <c r="Z757" s="10">
        <v>64</v>
      </c>
      <c r="AA757" s="10">
        <v>7.2</v>
      </c>
    </row>
    <row r="758" spans="1:27" s="10" customFormat="1" x14ac:dyDescent="0.25">
      <c r="A758" s="10" t="s">
        <v>38</v>
      </c>
      <c r="B758" s="10" t="s">
        <v>28</v>
      </c>
      <c r="C758" s="10" t="s">
        <v>83</v>
      </c>
      <c r="D758" s="10">
        <v>0</v>
      </c>
      <c r="E758" s="10">
        <v>0</v>
      </c>
      <c r="F758" s="10">
        <v>3.5989416433697499</v>
      </c>
      <c r="G758" s="10">
        <v>0</v>
      </c>
      <c r="H758" s="10">
        <v>3.3123146848433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8.3083434828232399</v>
      </c>
      <c r="O758" s="10">
        <v>1.65615734242165</v>
      </c>
      <c r="P758" s="10">
        <v>0</v>
      </c>
      <c r="Q758" s="10">
        <v>3.6619016657365102</v>
      </c>
      <c r="R758" s="10">
        <v>2.0655911179772901</v>
      </c>
      <c r="S758" s="10">
        <v>0</v>
      </c>
      <c r="T758" s="10">
        <v>13.8948431681206</v>
      </c>
      <c r="U758" s="10">
        <v>5.2080523733742803</v>
      </c>
      <c r="V758" s="10">
        <v>0</v>
      </c>
      <c r="W758" s="10">
        <v>0</v>
      </c>
      <c r="X758" s="10">
        <v>6.9611164950130604</v>
      </c>
      <c r="Y758" s="10">
        <v>3.6619016657365102</v>
      </c>
      <c r="Z758" s="10">
        <v>22.7784359177083</v>
      </c>
      <c r="AA758" s="10">
        <v>6.4498061986388402</v>
      </c>
    </row>
    <row r="759" spans="1:27" s="10" customFormat="1" x14ac:dyDescent="0.25">
      <c r="A759" s="10" t="s">
        <v>38</v>
      </c>
      <c r="B759" s="10" t="s">
        <v>28</v>
      </c>
      <c r="C759" s="10" t="s">
        <v>82</v>
      </c>
      <c r="D759" s="10">
        <v>0</v>
      </c>
      <c r="E759" s="10">
        <v>0</v>
      </c>
      <c r="F759" s="10">
        <v>0</v>
      </c>
      <c r="G759" s="10">
        <v>0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4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64</v>
      </c>
      <c r="AA759" s="10">
        <v>4</v>
      </c>
    </row>
    <row r="760" spans="1:27" s="10" customFormat="1" x14ac:dyDescent="0.25">
      <c r="A760" s="10" t="s">
        <v>38</v>
      </c>
      <c r="B760" s="10" t="s">
        <v>28</v>
      </c>
      <c r="C760" s="10" t="s">
        <v>81</v>
      </c>
      <c r="D760" s="10">
        <v>0</v>
      </c>
      <c r="E760" s="10">
        <v>0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48</v>
      </c>
      <c r="AA760" s="10">
        <v>4</v>
      </c>
    </row>
    <row r="761" spans="1:27" s="10" customFormat="1" x14ac:dyDescent="0.25">
      <c r="A761" s="10" t="s">
        <v>38</v>
      </c>
      <c r="B761" s="10" t="s">
        <v>28</v>
      </c>
      <c r="C761" s="10" t="s">
        <v>80</v>
      </c>
      <c r="D761" s="10">
        <v>0</v>
      </c>
      <c r="E761" s="10">
        <v>0</v>
      </c>
      <c r="F761" s="10">
        <v>0</v>
      </c>
      <c r="G761" s="10">
        <v>0</v>
      </c>
      <c r="H761" s="10">
        <v>4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2</v>
      </c>
      <c r="O761" s="10">
        <v>0</v>
      </c>
      <c r="P761" s="10">
        <v>0</v>
      </c>
      <c r="Q761" s="10">
        <v>2</v>
      </c>
      <c r="R761" s="10">
        <v>4</v>
      </c>
      <c r="S761" s="10">
        <v>0</v>
      </c>
      <c r="T761" s="10">
        <v>6</v>
      </c>
      <c r="U761" s="10">
        <v>6</v>
      </c>
      <c r="V761" s="10">
        <v>0</v>
      </c>
      <c r="W761" s="10">
        <v>0</v>
      </c>
      <c r="X761" s="10">
        <v>8</v>
      </c>
      <c r="Y761" s="10">
        <v>4</v>
      </c>
      <c r="Z761" s="10">
        <v>80</v>
      </c>
      <c r="AA761" s="10">
        <v>10</v>
      </c>
    </row>
    <row r="762" spans="1:27" x14ac:dyDescent="0.25">
      <c r="A762" s="9" t="s">
        <v>38</v>
      </c>
      <c r="B762" s="9" t="s">
        <v>29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4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4</v>
      </c>
      <c r="S762" s="9">
        <v>0</v>
      </c>
      <c r="T762" s="9">
        <v>24</v>
      </c>
      <c r="U762" s="9">
        <v>4</v>
      </c>
      <c r="V762" s="9">
        <v>0</v>
      </c>
      <c r="W762" s="9">
        <v>0</v>
      </c>
      <c r="X762" s="9">
        <v>4</v>
      </c>
      <c r="Y762" s="9">
        <v>0</v>
      </c>
      <c r="Z762" s="9">
        <v>56</v>
      </c>
      <c r="AA762" s="9">
        <v>4</v>
      </c>
    </row>
    <row r="763" spans="1:27" x14ac:dyDescent="0.25">
      <c r="A763" s="9" t="s">
        <v>38</v>
      </c>
      <c r="B763" s="9" t="s">
        <v>29</v>
      </c>
      <c r="D763" s="9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4</v>
      </c>
      <c r="S763" s="9">
        <v>0</v>
      </c>
      <c r="T763" s="9">
        <v>4</v>
      </c>
      <c r="U763" s="9">
        <v>0</v>
      </c>
      <c r="V763" s="9">
        <v>0</v>
      </c>
      <c r="W763" s="9">
        <v>0</v>
      </c>
      <c r="X763" s="9">
        <v>4</v>
      </c>
      <c r="Y763" s="9">
        <v>8</v>
      </c>
      <c r="Z763" s="9">
        <v>68</v>
      </c>
      <c r="AA763" s="9">
        <v>12</v>
      </c>
    </row>
    <row r="764" spans="1:27" x14ac:dyDescent="0.25">
      <c r="A764" s="9" t="s">
        <v>38</v>
      </c>
      <c r="B764" s="9" t="s">
        <v>29</v>
      </c>
      <c r="D764" s="9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  <c r="Q764" s="9">
        <v>0</v>
      </c>
      <c r="R764" s="9">
        <v>12</v>
      </c>
      <c r="S764" s="9">
        <v>0</v>
      </c>
      <c r="T764" s="9">
        <v>28</v>
      </c>
      <c r="U764" s="9">
        <v>0</v>
      </c>
      <c r="V764" s="9">
        <v>0</v>
      </c>
      <c r="W764" s="9">
        <v>0</v>
      </c>
      <c r="X764" s="9">
        <v>8</v>
      </c>
      <c r="Y764" s="9">
        <v>0</v>
      </c>
      <c r="Z764" s="9">
        <v>40</v>
      </c>
      <c r="AA764" s="9">
        <v>12</v>
      </c>
    </row>
    <row r="765" spans="1:27" x14ac:dyDescent="0.25">
      <c r="A765" s="9" t="s">
        <v>38</v>
      </c>
      <c r="B765" s="9" t="s">
        <v>29</v>
      </c>
      <c r="D765" s="9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0</v>
      </c>
      <c r="S765" s="9">
        <v>0</v>
      </c>
      <c r="T765" s="9">
        <v>20</v>
      </c>
      <c r="U765" s="9">
        <v>0</v>
      </c>
      <c r="V765" s="9">
        <v>0</v>
      </c>
      <c r="W765" s="9">
        <v>0</v>
      </c>
      <c r="X765" s="9">
        <v>0</v>
      </c>
      <c r="Y765" s="9">
        <v>8</v>
      </c>
      <c r="Z765" s="9">
        <v>56</v>
      </c>
      <c r="AA765" s="9">
        <v>16</v>
      </c>
    </row>
    <row r="766" spans="1:27" x14ac:dyDescent="0.25">
      <c r="A766" s="9" t="s">
        <v>38</v>
      </c>
      <c r="B766" s="9" t="s">
        <v>29</v>
      </c>
      <c r="D766" s="9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8</v>
      </c>
      <c r="V766" s="9">
        <v>0</v>
      </c>
      <c r="W766" s="9">
        <v>0</v>
      </c>
      <c r="X766" s="9">
        <v>0</v>
      </c>
      <c r="Y766" s="9">
        <v>0</v>
      </c>
      <c r="Z766" s="9">
        <v>84</v>
      </c>
      <c r="AA766" s="9">
        <v>8</v>
      </c>
    </row>
    <row r="767" spans="1:27" x14ac:dyDescent="0.25">
      <c r="A767" s="9" t="s">
        <v>38</v>
      </c>
      <c r="B767" s="9" t="s">
        <v>29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4</v>
      </c>
      <c r="S767" s="9">
        <v>0</v>
      </c>
      <c r="T767" s="9">
        <v>0</v>
      </c>
      <c r="U767" s="9">
        <v>0</v>
      </c>
      <c r="V767" s="9">
        <v>0</v>
      </c>
      <c r="W767" s="9">
        <v>0</v>
      </c>
      <c r="X767" s="9">
        <v>0</v>
      </c>
      <c r="Y767" s="9">
        <v>0</v>
      </c>
      <c r="Z767" s="9">
        <v>92</v>
      </c>
      <c r="AA767" s="9">
        <v>4</v>
      </c>
    </row>
    <row r="768" spans="1:27" x14ac:dyDescent="0.25">
      <c r="A768" s="9" t="s">
        <v>38</v>
      </c>
      <c r="B768" s="9" t="s">
        <v>29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9">
        <v>0</v>
      </c>
      <c r="T768" s="9">
        <v>0</v>
      </c>
      <c r="U768" s="9">
        <v>4</v>
      </c>
      <c r="V768" s="9">
        <v>0</v>
      </c>
      <c r="W768" s="9">
        <v>0</v>
      </c>
      <c r="X768" s="9">
        <v>0</v>
      </c>
      <c r="Y768" s="9">
        <v>0</v>
      </c>
      <c r="Z768" s="9">
        <v>96</v>
      </c>
      <c r="AA768" s="9">
        <v>0</v>
      </c>
    </row>
    <row r="769" spans="1:27" x14ac:dyDescent="0.25">
      <c r="A769" s="9" t="s">
        <v>38</v>
      </c>
      <c r="B769" s="9" t="s">
        <v>29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4</v>
      </c>
      <c r="S769" s="9">
        <v>0</v>
      </c>
      <c r="T769" s="9">
        <v>4</v>
      </c>
      <c r="U769" s="9">
        <v>0</v>
      </c>
      <c r="V769" s="9">
        <v>0</v>
      </c>
      <c r="W769" s="9">
        <v>0</v>
      </c>
      <c r="X769" s="9">
        <v>0</v>
      </c>
      <c r="Y769" s="9">
        <v>4</v>
      </c>
      <c r="Z769" s="9">
        <v>80</v>
      </c>
      <c r="AA769" s="9">
        <v>8</v>
      </c>
    </row>
    <row r="770" spans="1:27" x14ac:dyDescent="0.25">
      <c r="A770" s="9" t="s">
        <v>38</v>
      </c>
      <c r="B770" s="9" t="s">
        <v>29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9">
        <v>0</v>
      </c>
      <c r="X770" s="9">
        <v>0</v>
      </c>
      <c r="Y770" s="9">
        <v>0</v>
      </c>
      <c r="Z770" s="9">
        <v>100</v>
      </c>
      <c r="AA770" s="9">
        <v>0</v>
      </c>
    </row>
    <row r="771" spans="1:27" x14ac:dyDescent="0.25">
      <c r="A771" s="9" t="s">
        <v>38</v>
      </c>
      <c r="B771" s="9" t="s">
        <v>29</v>
      </c>
      <c r="D771" s="9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8</v>
      </c>
      <c r="V771" s="9">
        <v>0</v>
      </c>
      <c r="W771" s="9">
        <v>0</v>
      </c>
      <c r="X771" s="9">
        <v>0</v>
      </c>
      <c r="Y771" s="9">
        <v>0</v>
      </c>
      <c r="Z771" s="9">
        <v>92</v>
      </c>
      <c r="AA771" s="9">
        <v>0</v>
      </c>
    </row>
    <row r="772" spans="1:27" x14ac:dyDescent="0.25">
      <c r="A772" s="9" t="s">
        <v>38</v>
      </c>
      <c r="B772" s="9" t="s">
        <v>29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8</v>
      </c>
      <c r="S772" s="9">
        <v>0</v>
      </c>
      <c r="T772" s="9">
        <v>0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80</v>
      </c>
      <c r="AA772" s="9">
        <v>12</v>
      </c>
    </row>
    <row r="773" spans="1:27" x14ac:dyDescent="0.25">
      <c r="A773" s="9" t="s">
        <v>38</v>
      </c>
      <c r="B773" s="9" t="s">
        <v>29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9">
        <v>0</v>
      </c>
      <c r="T773" s="9">
        <v>4</v>
      </c>
      <c r="U773" s="9">
        <v>0</v>
      </c>
      <c r="V773" s="9">
        <v>0</v>
      </c>
      <c r="W773" s="9">
        <v>0</v>
      </c>
      <c r="X773" s="9">
        <v>0</v>
      </c>
      <c r="Y773" s="9">
        <v>8</v>
      </c>
      <c r="Z773" s="9">
        <v>80</v>
      </c>
      <c r="AA773" s="9">
        <v>8</v>
      </c>
    </row>
    <row r="774" spans="1:27" x14ac:dyDescent="0.25">
      <c r="A774" s="9" t="s">
        <v>38</v>
      </c>
      <c r="B774" s="9" t="s">
        <v>29</v>
      </c>
      <c r="D774" s="9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0</v>
      </c>
      <c r="R774" s="9">
        <v>4</v>
      </c>
      <c r="S774" s="9">
        <v>0</v>
      </c>
      <c r="T774" s="9">
        <v>0</v>
      </c>
      <c r="U774" s="9">
        <v>8</v>
      </c>
      <c r="V774" s="9">
        <v>0</v>
      </c>
      <c r="W774" s="9">
        <v>0</v>
      </c>
      <c r="X774" s="9">
        <v>4</v>
      </c>
      <c r="Y774" s="9">
        <v>0</v>
      </c>
      <c r="Z774" s="9">
        <v>76</v>
      </c>
      <c r="AA774" s="9">
        <v>8</v>
      </c>
    </row>
    <row r="775" spans="1:27" x14ac:dyDescent="0.25">
      <c r="A775" s="9" t="s">
        <v>38</v>
      </c>
      <c r="B775" s="9" t="s">
        <v>29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v>0</v>
      </c>
      <c r="R775" s="9">
        <v>4</v>
      </c>
      <c r="S775" s="9">
        <v>0</v>
      </c>
      <c r="T775" s="9">
        <v>0</v>
      </c>
      <c r="U775" s="9">
        <v>4</v>
      </c>
      <c r="V775" s="9">
        <v>0</v>
      </c>
      <c r="W775" s="9">
        <v>0</v>
      </c>
      <c r="X775" s="9">
        <v>4</v>
      </c>
      <c r="Y775" s="9">
        <v>4</v>
      </c>
      <c r="Z775" s="9">
        <v>64</v>
      </c>
      <c r="AA775" s="9">
        <v>20</v>
      </c>
    </row>
    <row r="776" spans="1:27" x14ac:dyDescent="0.25">
      <c r="A776" s="9" t="s">
        <v>38</v>
      </c>
      <c r="B776" s="9" t="s">
        <v>29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>
        <v>96</v>
      </c>
      <c r="AA776" s="9">
        <v>4</v>
      </c>
    </row>
    <row r="777" spans="1:27" s="10" customFormat="1" x14ac:dyDescent="0.25">
      <c r="A777" s="10" t="s">
        <v>38</v>
      </c>
      <c r="B777" s="10" t="s">
        <v>29</v>
      </c>
      <c r="C777" s="10" t="s">
        <v>84</v>
      </c>
      <c r="D777" s="10">
        <v>0</v>
      </c>
      <c r="E777" s="10">
        <v>0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0.266666666666667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2.93333333333333</v>
      </c>
      <c r="S777" s="10">
        <v>0</v>
      </c>
      <c r="T777" s="10">
        <v>5.6</v>
      </c>
      <c r="U777" s="10">
        <v>2.4</v>
      </c>
      <c r="V777" s="10">
        <v>0</v>
      </c>
      <c r="W777" s="10">
        <v>0</v>
      </c>
      <c r="X777" s="10">
        <v>1.6</v>
      </c>
      <c r="Y777" s="10">
        <v>2.1333333333333302</v>
      </c>
      <c r="Z777" s="10">
        <v>77.3333333333333</v>
      </c>
      <c r="AA777" s="10">
        <v>7.7333333333333298</v>
      </c>
    </row>
    <row r="778" spans="1:27" s="10" customFormat="1" x14ac:dyDescent="0.25">
      <c r="A778" s="10" t="s">
        <v>38</v>
      </c>
      <c r="B778" s="10" t="s">
        <v>29</v>
      </c>
      <c r="C778" s="10" t="s">
        <v>83</v>
      </c>
      <c r="D778" s="10">
        <v>0</v>
      </c>
      <c r="E778" s="10">
        <v>0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1.03279555898864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3.53486040675415</v>
      </c>
      <c r="S778" s="10">
        <v>0</v>
      </c>
      <c r="T778" s="10">
        <v>9.7746026590781305</v>
      </c>
      <c r="U778" s="10">
        <v>3.3123146848433</v>
      </c>
      <c r="V778" s="10">
        <v>0</v>
      </c>
      <c r="W778" s="10">
        <v>0</v>
      </c>
      <c r="X778" s="10">
        <v>2.5298221281347</v>
      </c>
      <c r="Y778" s="10">
        <v>3.3352375513311698</v>
      </c>
      <c r="Z778" s="10">
        <v>17.479239386306499</v>
      </c>
      <c r="AA778" s="10">
        <v>5.9457868236576497</v>
      </c>
    </row>
    <row r="779" spans="1:27" s="10" customFormat="1" x14ac:dyDescent="0.25">
      <c r="A779" s="10" t="s">
        <v>38</v>
      </c>
      <c r="B779" s="10" t="s">
        <v>29</v>
      </c>
      <c r="C779" s="10" t="s">
        <v>82</v>
      </c>
      <c r="D779" s="10">
        <v>0</v>
      </c>
      <c r="E779" s="10">
        <v>0</v>
      </c>
      <c r="F779" s="10">
        <v>0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4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80</v>
      </c>
      <c r="AA779" s="10">
        <v>8</v>
      </c>
    </row>
    <row r="780" spans="1:27" s="10" customFormat="1" x14ac:dyDescent="0.25">
      <c r="A780" s="10" t="s">
        <v>38</v>
      </c>
      <c r="B780" s="10" t="s">
        <v>29</v>
      </c>
      <c r="C780" s="10" t="s">
        <v>81</v>
      </c>
      <c r="D780" s="10">
        <v>0</v>
      </c>
      <c r="E780" s="10">
        <v>0</v>
      </c>
      <c r="F780" s="10">
        <v>0</v>
      </c>
      <c r="G780" s="10">
        <v>0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66</v>
      </c>
      <c r="AA780" s="10">
        <v>4</v>
      </c>
    </row>
    <row r="781" spans="1:27" s="10" customFormat="1" x14ac:dyDescent="0.25">
      <c r="A781" s="10" t="s">
        <v>38</v>
      </c>
      <c r="B781" s="10" t="s">
        <v>29</v>
      </c>
      <c r="C781" s="10" t="s">
        <v>80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4</v>
      </c>
      <c r="S781" s="10">
        <v>0</v>
      </c>
      <c r="T781" s="10">
        <v>4</v>
      </c>
      <c r="U781" s="10">
        <v>4</v>
      </c>
      <c r="V781" s="10">
        <v>0</v>
      </c>
      <c r="W781" s="10">
        <v>0</v>
      </c>
      <c r="X781" s="10">
        <v>4</v>
      </c>
      <c r="Y781" s="10">
        <v>4</v>
      </c>
      <c r="Z781" s="10">
        <v>92</v>
      </c>
      <c r="AA781" s="10">
        <v>12</v>
      </c>
    </row>
    <row r="782" spans="1:27" x14ac:dyDescent="0.25">
      <c r="A782" s="9" t="s">
        <v>38</v>
      </c>
      <c r="B782" s="9" t="s">
        <v>30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4</v>
      </c>
      <c r="U782" s="9">
        <v>0</v>
      </c>
      <c r="V782" s="9">
        <v>0</v>
      </c>
      <c r="W782" s="9">
        <v>0</v>
      </c>
      <c r="X782" s="9">
        <v>0</v>
      </c>
      <c r="Y782" s="9">
        <v>0</v>
      </c>
      <c r="Z782" s="9">
        <v>96</v>
      </c>
      <c r="AA782" s="9">
        <v>0</v>
      </c>
    </row>
    <row r="783" spans="1:27" x14ac:dyDescent="0.25">
      <c r="A783" s="9" t="s">
        <v>38</v>
      </c>
      <c r="B783" s="9" t="s">
        <v>30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0</v>
      </c>
      <c r="R783" s="9">
        <v>8</v>
      </c>
      <c r="S783" s="9">
        <v>0</v>
      </c>
      <c r="T783" s="9">
        <v>0</v>
      </c>
      <c r="U783" s="9">
        <v>0</v>
      </c>
      <c r="V783" s="9">
        <v>0</v>
      </c>
      <c r="W783" s="9">
        <v>0</v>
      </c>
      <c r="X783" s="9">
        <v>0</v>
      </c>
      <c r="Y783" s="9">
        <v>0</v>
      </c>
      <c r="Z783" s="9">
        <v>92</v>
      </c>
      <c r="AA783" s="9">
        <v>0</v>
      </c>
    </row>
    <row r="784" spans="1:27" x14ac:dyDescent="0.25">
      <c r="A784" s="9" t="s">
        <v>38</v>
      </c>
      <c r="B784" s="9" t="s">
        <v>30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v>0</v>
      </c>
      <c r="R784" s="9">
        <v>0</v>
      </c>
      <c r="S784" s="9">
        <v>0</v>
      </c>
      <c r="T784" s="9">
        <v>4</v>
      </c>
      <c r="U784" s="9">
        <v>0</v>
      </c>
      <c r="V784" s="9">
        <v>0</v>
      </c>
      <c r="W784" s="9">
        <v>0</v>
      </c>
      <c r="X784" s="9">
        <v>0</v>
      </c>
      <c r="Y784" s="9">
        <v>4</v>
      </c>
      <c r="Z784" s="9">
        <v>80</v>
      </c>
      <c r="AA784" s="9">
        <v>12</v>
      </c>
    </row>
    <row r="785" spans="1:27" x14ac:dyDescent="0.25">
      <c r="A785" s="9" t="s">
        <v>38</v>
      </c>
      <c r="B785" s="9" t="s">
        <v>30</v>
      </c>
      <c r="D785" s="9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4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96</v>
      </c>
      <c r="AA785" s="9">
        <v>0</v>
      </c>
    </row>
    <row r="786" spans="1:27" x14ac:dyDescent="0.25">
      <c r="A786" s="9" t="s">
        <v>38</v>
      </c>
      <c r="B786" s="9" t="s">
        <v>30</v>
      </c>
      <c r="D786" s="9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4</v>
      </c>
      <c r="U786" s="9">
        <v>4</v>
      </c>
      <c r="V786" s="9">
        <v>0</v>
      </c>
      <c r="W786" s="9">
        <v>0</v>
      </c>
      <c r="X786" s="9">
        <v>8</v>
      </c>
      <c r="Y786" s="9">
        <v>0</v>
      </c>
      <c r="Z786" s="9">
        <v>80</v>
      </c>
      <c r="AA786" s="9">
        <v>4</v>
      </c>
    </row>
    <row r="787" spans="1:27" x14ac:dyDescent="0.25">
      <c r="A787" s="9" t="s">
        <v>38</v>
      </c>
      <c r="B787" s="9" t="s">
        <v>30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4</v>
      </c>
      <c r="S787" s="9">
        <v>0</v>
      </c>
      <c r="T787" s="9">
        <v>12</v>
      </c>
      <c r="U787" s="9">
        <v>4</v>
      </c>
      <c r="V787" s="9">
        <v>0</v>
      </c>
      <c r="W787" s="9">
        <v>0</v>
      </c>
      <c r="X787" s="9">
        <v>8</v>
      </c>
      <c r="Y787" s="9">
        <v>0</v>
      </c>
      <c r="Z787" s="9">
        <v>52</v>
      </c>
      <c r="AA787" s="9">
        <v>20</v>
      </c>
    </row>
    <row r="788" spans="1:27" x14ac:dyDescent="0.25">
      <c r="A788" s="9" t="s">
        <v>38</v>
      </c>
      <c r="B788" s="9" t="s">
        <v>30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4</v>
      </c>
      <c r="S788" s="9">
        <v>0</v>
      </c>
      <c r="T788" s="9">
        <v>16</v>
      </c>
      <c r="U788" s="9">
        <v>0</v>
      </c>
      <c r="V788" s="9">
        <v>0</v>
      </c>
      <c r="W788" s="9">
        <v>0</v>
      </c>
      <c r="X788" s="9">
        <v>4</v>
      </c>
      <c r="Y788" s="9">
        <v>16</v>
      </c>
      <c r="Z788" s="9">
        <v>56</v>
      </c>
      <c r="AA788" s="9">
        <v>4</v>
      </c>
    </row>
    <row r="789" spans="1:27" x14ac:dyDescent="0.25">
      <c r="A789" s="9" t="s">
        <v>38</v>
      </c>
      <c r="B789" s="9" t="s">
        <v>30</v>
      </c>
      <c r="D789" s="9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4</v>
      </c>
      <c r="U789" s="9">
        <v>4</v>
      </c>
      <c r="V789" s="9">
        <v>0</v>
      </c>
      <c r="W789" s="9">
        <v>0</v>
      </c>
      <c r="X789" s="9">
        <v>0</v>
      </c>
      <c r="Y789" s="9">
        <v>4</v>
      </c>
      <c r="Z789" s="9">
        <v>84</v>
      </c>
      <c r="AA789" s="9">
        <v>4</v>
      </c>
    </row>
    <row r="790" spans="1:27" x14ac:dyDescent="0.25">
      <c r="A790" s="9" t="s">
        <v>38</v>
      </c>
      <c r="B790" s="9" t="s">
        <v>30</v>
      </c>
      <c r="D790" s="9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24</v>
      </c>
      <c r="U790" s="9">
        <v>0</v>
      </c>
      <c r="V790" s="9">
        <v>0</v>
      </c>
      <c r="W790" s="9">
        <v>0</v>
      </c>
      <c r="X790" s="9">
        <v>4</v>
      </c>
      <c r="Y790" s="9">
        <v>0</v>
      </c>
      <c r="Z790" s="9">
        <v>68</v>
      </c>
      <c r="AA790" s="9">
        <v>4</v>
      </c>
    </row>
    <row r="791" spans="1:27" x14ac:dyDescent="0.25">
      <c r="A791" s="9" t="s">
        <v>38</v>
      </c>
      <c r="B791" s="9" t="s">
        <v>30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4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24</v>
      </c>
      <c r="U791" s="9">
        <v>0</v>
      </c>
      <c r="V791" s="9">
        <v>0</v>
      </c>
      <c r="W791" s="9">
        <v>0</v>
      </c>
      <c r="X791" s="9">
        <v>0</v>
      </c>
      <c r="Y791" s="9">
        <v>4</v>
      </c>
      <c r="Z791" s="9">
        <v>68</v>
      </c>
      <c r="AA791" s="9">
        <v>0</v>
      </c>
    </row>
    <row r="792" spans="1:27" x14ac:dyDescent="0.25">
      <c r="A792" s="9" t="s">
        <v>38</v>
      </c>
      <c r="B792" s="9" t="s">
        <v>30</v>
      </c>
      <c r="D792" s="9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8</v>
      </c>
      <c r="V792" s="9">
        <v>0</v>
      </c>
      <c r="W792" s="9">
        <v>0</v>
      </c>
      <c r="X792" s="9">
        <v>0</v>
      </c>
      <c r="Y792" s="9">
        <v>0</v>
      </c>
      <c r="Z792" s="9">
        <v>80</v>
      </c>
      <c r="AA792" s="9">
        <v>12</v>
      </c>
    </row>
    <row r="793" spans="1:27" x14ac:dyDescent="0.25">
      <c r="A793" s="9" t="s">
        <v>38</v>
      </c>
      <c r="B793" s="9" t="s">
        <v>30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4</v>
      </c>
      <c r="S793" s="9">
        <v>0</v>
      </c>
      <c r="T793" s="9">
        <v>0</v>
      </c>
      <c r="U793" s="9">
        <v>4</v>
      </c>
      <c r="V793" s="9">
        <v>0</v>
      </c>
      <c r="W793" s="9">
        <v>0</v>
      </c>
      <c r="X793" s="9">
        <v>8</v>
      </c>
      <c r="Y793" s="9">
        <v>0</v>
      </c>
      <c r="Z793" s="9">
        <v>76</v>
      </c>
      <c r="AA793" s="9">
        <v>8</v>
      </c>
    </row>
    <row r="794" spans="1:27" x14ac:dyDescent="0.25">
      <c r="A794" s="9" t="s">
        <v>38</v>
      </c>
      <c r="B794" s="9" t="s">
        <v>30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4</v>
      </c>
      <c r="S794" s="9">
        <v>0</v>
      </c>
      <c r="T794" s="9">
        <v>4</v>
      </c>
      <c r="U794" s="9">
        <v>0</v>
      </c>
      <c r="V794" s="9">
        <v>0</v>
      </c>
      <c r="W794" s="9">
        <v>0</v>
      </c>
      <c r="X794" s="9">
        <v>0</v>
      </c>
      <c r="Y794" s="9">
        <v>4</v>
      </c>
      <c r="Z794" s="9">
        <v>84</v>
      </c>
      <c r="AA794" s="9">
        <v>4</v>
      </c>
    </row>
    <row r="795" spans="1:27" x14ac:dyDescent="0.25">
      <c r="A795" s="9" t="s">
        <v>38</v>
      </c>
      <c r="B795" s="9" t="s">
        <v>30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0</v>
      </c>
      <c r="R795" s="9">
        <v>4</v>
      </c>
      <c r="S795" s="9">
        <v>0</v>
      </c>
      <c r="T795" s="9">
        <v>4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9">
        <v>88</v>
      </c>
      <c r="AA795" s="9">
        <v>4</v>
      </c>
    </row>
    <row r="796" spans="1:27" x14ac:dyDescent="0.25">
      <c r="A796" s="9" t="s">
        <v>38</v>
      </c>
      <c r="B796" s="9" t="s">
        <v>30</v>
      </c>
      <c r="D796" s="9">
        <v>0</v>
      </c>
      <c r="E796" s="9">
        <v>0</v>
      </c>
      <c r="F796" s="9">
        <v>4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9">
        <v>0</v>
      </c>
      <c r="T796" s="9">
        <v>12</v>
      </c>
      <c r="U796" s="9">
        <v>0</v>
      </c>
      <c r="V796" s="9">
        <v>0</v>
      </c>
      <c r="W796" s="9">
        <v>0</v>
      </c>
      <c r="X796" s="9">
        <v>0</v>
      </c>
      <c r="Y796" s="9">
        <v>4</v>
      </c>
      <c r="Z796" s="9">
        <v>80</v>
      </c>
      <c r="AA796" s="9">
        <v>0</v>
      </c>
    </row>
    <row r="797" spans="1:27" s="10" customFormat="1" x14ac:dyDescent="0.25">
      <c r="A797" s="10" t="s">
        <v>38</v>
      </c>
      <c r="B797" s="10" t="s">
        <v>30</v>
      </c>
      <c r="C797" s="10" t="s">
        <v>84</v>
      </c>
      <c r="D797" s="10">
        <v>0</v>
      </c>
      <c r="E797" s="10">
        <v>0</v>
      </c>
      <c r="F797" s="10">
        <v>0.266666666666667</v>
      </c>
      <c r="G797" s="10">
        <v>0</v>
      </c>
      <c r="H797" s="10">
        <v>0</v>
      </c>
      <c r="I797" s="10">
        <v>0</v>
      </c>
      <c r="J797" s="10">
        <v>0</v>
      </c>
      <c r="K797" s="10">
        <v>0</v>
      </c>
      <c r="L797" s="10">
        <v>0.266666666666667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2.1333333333333302</v>
      </c>
      <c r="S797" s="10">
        <v>0</v>
      </c>
      <c r="T797" s="10">
        <v>7.4666666666666703</v>
      </c>
      <c r="U797" s="10">
        <v>1.6</v>
      </c>
      <c r="V797" s="10">
        <v>0</v>
      </c>
      <c r="W797" s="10">
        <v>0</v>
      </c>
      <c r="X797" s="10">
        <v>2.1333333333333302</v>
      </c>
      <c r="Y797" s="10">
        <v>2.4</v>
      </c>
      <c r="Z797" s="10">
        <v>78.6666666666667</v>
      </c>
      <c r="AA797" s="10">
        <v>5.06666666666667</v>
      </c>
    </row>
    <row r="798" spans="1:27" s="10" customFormat="1" x14ac:dyDescent="0.25">
      <c r="A798" s="10" t="s">
        <v>38</v>
      </c>
      <c r="B798" s="10" t="s">
        <v>30</v>
      </c>
      <c r="C798" s="10" t="s">
        <v>83</v>
      </c>
      <c r="D798" s="10">
        <v>0</v>
      </c>
      <c r="E798" s="10">
        <v>0</v>
      </c>
      <c r="F798" s="10">
        <v>1.03279555898864</v>
      </c>
      <c r="G798" s="10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1.03279555898864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2.5597618936887399</v>
      </c>
      <c r="S798" s="10">
        <v>0</v>
      </c>
      <c r="T798" s="10">
        <v>8.2623644719091605</v>
      </c>
      <c r="U798" s="10">
        <v>2.5298221281347</v>
      </c>
      <c r="V798" s="10">
        <v>0</v>
      </c>
      <c r="W798" s="10">
        <v>0</v>
      </c>
      <c r="X798" s="10">
        <v>3.3352375513311698</v>
      </c>
      <c r="Y798" s="10">
        <v>4.2223893032939799</v>
      </c>
      <c r="Z798" s="10">
        <v>13.063945294843601</v>
      </c>
      <c r="AA798" s="10">
        <v>5.7503623074260899</v>
      </c>
    </row>
    <row r="799" spans="1:27" s="10" customFormat="1" x14ac:dyDescent="0.25">
      <c r="A799" s="10" t="s">
        <v>38</v>
      </c>
      <c r="B799" s="10" t="s">
        <v>30</v>
      </c>
      <c r="C799" s="10" t="s">
        <v>82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4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80</v>
      </c>
      <c r="AA799" s="10">
        <v>4</v>
      </c>
    </row>
    <row r="800" spans="1:27" s="10" customFormat="1" x14ac:dyDescent="0.25">
      <c r="A800" s="10" t="s">
        <v>38</v>
      </c>
      <c r="B800" s="10" t="s">
        <v>30</v>
      </c>
      <c r="C800" s="10" t="s">
        <v>81</v>
      </c>
      <c r="D800" s="10">
        <v>0</v>
      </c>
      <c r="E800" s="10">
        <v>0</v>
      </c>
      <c r="F800" s="10">
        <v>0</v>
      </c>
      <c r="G800" s="10">
        <v>0</v>
      </c>
      <c r="H800" s="10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2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72</v>
      </c>
      <c r="AA800" s="10">
        <v>0</v>
      </c>
    </row>
    <row r="801" spans="1:27" s="10" customFormat="1" x14ac:dyDescent="0.25">
      <c r="A801" s="10" t="s">
        <v>38</v>
      </c>
      <c r="B801" s="10" t="s">
        <v>30</v>
      </c>
      <c r="C801" s="10" t="s">
        <v>80</v>
      </c>
      <c r="D801" s="10">
        <v>0</v>
      </c>
      <c r="E801" s="10">
        <v>0</v>
      </c>
      <c r="F801" s="10">
        <v>0</v>
      </c>
      <c r="G801" s="10">
        <v>0</v>
      </c>
      <c r="H801" s="10">
        <v>0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4</v>
      </c>
      <c r="S801" s="10">
        <v>0</v>
      </c>
      <c r="T801" s="10">
        <v>12</v>
      </c>
      <c r="U801" s="10">
        <v>4</v>
      </c>
      <c r="V801" s="10">
        <v>0</v>
      </c>
      <c r="W801" s="10">
        <v>0</v>
      </c>
      <c r="X801" s="10">
        <v>4</v>
      </c>
      <c r="Y801" s="10">
        <v>4</v>
      </c>
      <c r="Z801" s="10">
        <v>86</v>
      </c>
      <c r="AA801" s="10">
        <v>6</v>
      </c>
    </row>
    <row r="802" spans="1:27" x14ac:dyDescent="0.25">
      <c r="A802" s="9" t="s">
        <v>38</v>
      </c>
      <c r="B802" s="9" t="s">
        <v>31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9">
        <v>0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  <c r="W802" s="9">
        <v>0</v>
      </c>
      <c r="X802" s="9">
        <v>8</v>
      </c>
      <c r="Y802" s="9">
        <v>0</v>
      </c>
      <c r="Z802" s="9">
        <v>76</v>
      </c>
      <c r="AA802" s="9">
        <v>16</v>
      </c>
    </row>
    <row r="803" spans="1:27" x14ac:dyDescent="0.25">
      <c r="A803" s="9" t="s">
        <v>38</v>
      </c>
      <c r="B803" s="9" t="s">
        <v>31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>
        <v>0</v>
      </c>
      <c r="X803" s="9">
        <v>4</v>
      </c>
      <c r="Y803" s="9">
        <v>4</v>
      </c>
      <c r="Z803" s="9">
        <v>88</v>
      </c>
      <c r="AA803" s="9">
        <v>4</v>
      </c>
    </row>
    <row r="804" spans="1:27" x14ac:dyDescent="0.25">
      <c r="A804" s="9" t="s">
        <v>38</v>
      </c>
      <c r="B804" s="9" t="s">
        <v>31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>
        <v>64</v>
      </c>
      <c r="AA804" s="9">
        <v>36</v>
      </c>
    </row>
    <row r="805" spans="1:27" x14ac:dyDescent="0.25">
      <c r="A805" s="9" t="s">
        <v>38</v>
      </c>
      <c r="B805" s="9" t="s">
        <v>31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4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9">
        <v>0</v>
      </c>
      <c r="Y805" s="9">
        <v>0</v>
      </c>
      <c r="Z805" s="9">
        <v>92</v>
      </c>
      <c r="AA805" s="9">
        <v>4</v>
      </c>
    </row>
    <row r="806" spans="1:27" x14ac:dyDescent="0.25">
      <c r="A806" s="9" t="s">
        <v>38</v>
      </c>
      <c r="B806" s="9" t="s">
        <v>31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4</v>
      </c>
      <c r="S806" s="9">
        <v>0</v>
      </c>
      <c r="T806" s="9">
        <v>0</v>
      </c>
      <c r="U806" s="9">
        <v>8</v>
      </c>
      <c r="V806" s="9">
        <v>0</v>
      </c>
      <c r="W806" s="9">
        <v>0</v>
      </c>
      <c r="X806" s="9">
        <v>0</v>
      </c>
      <c r="Y806" s="9">
        <v>0</v>
      </c>
      <c r="Z806" s="9">
        <v>80</v>
      </c>
      <c r="AA806" s="9">
        <v>8</v>
      </c>
    </row>
    <row r="807" spans="1:27" x14ac:dyDescent="0.25">
      <c r="A807" s="9" t="s">
        <v>38</v>
      </c>
      <c r="B807" s="9" t="s">
        <v>31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4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9">
        <v>96</v>
      </c>
      <c r="AA807" s="9">
        <v>0</v>
      </c>
    </row>
    <row r="808" spans="1:27" x14ac:dyDescent="0.25">
      <c r="A808" s="9" t="s">
        <v>38</v>
      </c>
      <c r="B808" s="9" t="s">
        <v>31</v>
      </c>
      <c r="D808" s="9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24</v>
      </c>
      <c r="O808" s="9">
        <v>4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9">
        <v>68</v>
      </c>
      <c r="AA808" s="9">
        <v>4</v>
      </c>
    </row>
    <row r="809" spans="1:27" x14ac:dyDescent="0.25">
      <c r="A809" s="9" t="s">
        <v>38</v>
      </c>
      <c r="B809" s="9" t="s">
        <v>31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4</v>
      </c>
      <c r="O809" s="9">
        <v>0</v>
      </c>
      <c r="P809" s="9">
        <v>0</v>
      </c>
      <c r="Q809" s="9">
        <v>0</v>
      </c>
      <c r="R809" s="9">
        <v>4</v>
      </c>
      <c r="S809" s="9">
        <v>0</v>
      </c>
      <c r="T809" s="9">
        <v>0</v>
      </c>
      <c r="U809" s="9">
        <v>0</v>
      </c>
      <c r="V809" s="9">
        <v>0</v>
      </c>
      <c r="W809" s="9">
        <v>0</v>
      </c>
      <c r="X809" s="9">
        <v>0</v>
      </c>
      <c r="Y809" s="9">
        <v>0</v>
      </c>
      <c r="Z809" s="9">
        <v>84</v>
      </c>
      <c r="AA809" s="9">
        <v>8</v>
      </c>
    </row>
    <row r="810" spans="1:27" x14ac:dyDescent="0.25">
      <c r="A810" s="9" t="s">
        <v>38</v>
      </c>
      <c r="B810" s="9" t="s">
        <v>31</v>
      </c>
      <c r="D810" s="9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16</v>
      </c>
      <c r="O810" s="9">
        <v>0</v>
      </c>
      <c r="P810" s="9">
        <v>0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0</v>
      </c>
      <c r="W810" s="9">
        <v>0</v>
      </c>
      <c r="X810" s="9">
        <v>0</v>
      </c>
      <c r="Y810" s="9">
        <v>0</v>
      </c>
      <c r="Z810" s="9">
        <v>68</v>
      </c>
      <c r="AA810" s="9">
        <v>16</v>
      </c>
    </row>
    <row r="811" spans="1:27" x14ac:dyDescent="0.25">
      <c r="A811" s="9" t="s">
        <v>38</v>
      </c>
      <c r="B811" s="9" t="s">
        <v>31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4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0</v>
      </c>
      <c r="Y811" s="9">
        <v>0</v>
      </c>
      <c r="Z811" s="9">
        <v>84</v>
      </c>
      <c r="AA811" s="9">
        <v>12</v>
      </c>
    </row>
    <row r="812" spans="1:27" x14ac:dyDescent="0.25">
      <c r="A812" s="9" t="s">
        <v>38</v>
      </c>
      <c r="B812" s="9" t="s">
        <v>31</v>
      </c>
      <c r="D812" s="9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0</v>
      </c>
      <c r="X812" s="9">
        <v>4</v>
      </c>
      <c r="Y812" s="9">
        <v>0</v>
      </c>
      <c r="Z812" s="9">
        <v>88</v>
      </c>
      <c r="AA812" s="9">
        <v>8</v>
      </c>
    </row>
    <row r="813" spans="1:27" x14ac:dyDescent="0.25">
      <c r="A813" s="9" t="s">
        <v>38</v>
      </c>
      <c r="B813" s="9" t="s">
        <v>31</v>
      </c>
      <c r="D813" s="9">
        <v>0</v>
      </c>
      <c r="E813" s="9">
        <v>0</v>
      </c>
      <c r="F813" s="9">
        <v>0</v>
      </c>
      <c r="G813" s="9">
        <v>0</v>
      </c>
      <c r="H813" s="9">
        <v>4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9">
        <v>0</v>
      </c>
      <c r="T813" s="9">
        <v>4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>
        <v>80</v>
      </c>
      <c r="AA813" s="9">
        <v>12</v>
      </c>
    </row>
    <row r="814" spans="1:27" x14ac:dyDescent="0.25">
      <c r="A814" s="9" t="s">
        <v>38</v>
      </c>
      <c r="B814" s="9" t="s">
        <v>31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4</v>
      </c>
      <c r="U814" s="9">
        <v>0</v>
      </c>
      <c r="V814" s="9">
        <v>0</v>
      </c>
      <c r="W814" s="9">
        <v>0</v>
      </c>
      <c r="X814" s="9">
        <v>8</v>
      </c>
      <c r="Y814" s="9">
        <v>4</v>
      </c>
      <c r="Z814" s="9">
        <v>68</v>
      </c>
      <c r="AA814" s="9">
        <v>16</v>
      </c>
    </row>
    <row r="815" spans="1:27" x14ac:dyDescent="0.25">
      <c r="A815" s="9" t="s">
        <v>38</v>
      </c>
      <c r="B815" s="9" t="s">
        <v>31</v>
      </c>
      <c r="D815" s="9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4</v>
      </c>
      <c r="V815" s="9">
        <v>0</v>
      </c>
      <c r="W815" s="9">
        <v>0</v>
      </c>
      <c r="X815" s="9">
        <v>0</v>
      </c>
      <c r="Y815" s="9">
        <v>0</v>
      </c>
      <c r="Z815" s="9">
        <v>96</v>
      </c>
      <c r="AA815" s="9">
        <v>0</v>
      </c>
    </row>
    <row r="816" spans="1:27" x14ac:dyDescent="0.25">
      <c r="A816" s="9" t="s">
        <v>38</v>
      </c>
      <c r="B816" s="9" t="s">
        <v>31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4</v>
      </c>
      <c r="Y816" s="9">
        <v>0</v>
      </c>
      <c r="Z816" s="9">
        <v>88</v>
      </c>
      <c r="AA816" s="9">
        <v>8</v>
      </c>
    </row>
    <row r="817" spans="1:27" s="10" customFormat="1" x14ac:dyDescent="0.25">
      <c r="A817" s="10" t="s">
        <v>38</v>
      </c>
      <c r="B817" s="10" t="s">
        <v>31</v>
      </c>
      <c r="C817" s="10" t="s">
        <v>84</v>
      </c>
      <c r="D817" s="10">
        <v>0</v>
      </c>
      <c r="E817" s="10">
        <v>0</v>
      </c>
      <c r="F817" s="10">
        <v>0</v>
      </c>
      <c r="G817" s="10">
        <v>0</v>
      </c>
      <c r="H817" s="10">
        <v>0.266666666666667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3.2</v>
      </c>
      <c r="O817" s="10">
        <v>0.266666666666667</v>
      </c>
      <c r="P817" s="10">
        <v>0</v>
      </c>
      <c r="Q817" s="10">
        <v>0</v>
      </c>
      <c r="R817" s="10">
        <v>0.8</v>
      </c>
      <c r="S817" s="10">
        <v>0</v>
      </c>
      <c r="T817" s="10">
        <v>0.8</v>
      </c>
      <c r="U817" s="10">
        <v>0.8</v>
      </c>
      <c r="V817" s="10">
        <v>0</v>
      </c>
      <c r="W817" s="10">
        <v>0</v>
      </c>
      <c r="X817" s="10">
        <v>1.86666666666667</v>
      </c>
      <c r="Y817" s="10">
        <v>0.53333333333333299</v>
      </c>
      <c r="Z817" s="10">
        <v>81.3333333333333</v>
      </c>
      <c r="AA817" s="10">
        <v>10.133333333333301</v>
      </c>
    </row>
    <row r="818" spans="1:27" s="10" customFormat="1" x14ac:dyDescent="0.25">
      <c r="A818" s="10" t="s">
        <v>38</v>
      </c>
      <c r="B818" s="10" t="s">
        <v>31</v>
      </c>
      <c r="C818" s="10" t="s">
        <v>83</v>
      </c>
      <c r="D818" s="10">
        <v>0</v>
      </c>
      <c r="E818" s="10">
        <v>0</v>
      </c>
      <c r="F818" s="10">
        <v>0</v>
      </c>
      <c r="G818" s="10">
        <v>0</v>
      </c>
      <c r="H818" s="10">
        <v>1.03279555898864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7.1234020764559602</v>
      </c>
      <c r="O818" s="10">
        <v>1.03279555898864</v>
      </c>
      <c r="P818" s="10">
        <v>0</v>
      </c>
      <c r="Q818" s="10">
        <v>0</v>
      </c>
      <c r="R818" s="10">
        <v>1.65615734242165</v>
      </c>
      <c r="S818" s="10">
        <v>0</v>
      </c>
      <c r="T818" s="10">
        <v>1.65615734242165</v>
      </c>
      <c r="U818" s="10">
        <v>2.2424476423255499</v>
      </c>
      <c r="V818" s="10">
        <v>0</v>
      </c>
      <c r="W818" s="10">
        <v>0</v>
      </c>
      <c r="X818" s="10">
        <v>2.9728934118288302</v>
      </c>
      <c r="Y818" s="10">
        <v>1.4074631010979901</v>
      </c>
      <c r="Z818" s="10">
        <v>10.5469471999292</v>
      </c>
      <c r="AA818" s="10">
        <v>8.9272189451832098</v>
      </c>
    </row>
    <row r="819" spans="1:27" s="10" customFormat="1" x14ac:dyDescent="0.25">
      <c r="A819" s="10" t="s">
        <v>38</v>
      </c>
      <c r="B819" s="10" t="s">
        <v>31</v>
      </c>
      <c r="C819" s="10" t="s">
        <v>82</v>
      </c>
      <c r="D819" s="10">
        <v>0</v>
      </c>
      <c r="E819" s="10">
        <v>0</v>
      </c>
      <c r="F819" s="10">
        <v>0</v>
      </c>
      <c r="G819" s="10">
        <v>0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84</v>
      </c>
      <c r="AA819" s="10">
        <v>8</v>
      </c>
    </row>
    <row r="820" spans="1:27" s="10" customFormat="1" x14ac:dyDescent="0.25">
      <c r="A820" s="10" t="s">
        <v>38</v>
      </c>
      <c r="B820" s="10" t="s">
        <v>31</v>
      </c>
      <c r="C820" s="10" t="s">
        <v>81</v>
      </c>
      <c r="D820" s="10">
        <v>0</v>
      </c>
      <c r="E820" s="10">
        <v>0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72</v>
      </c>
      <c r="AA820" s="10">
        <v>4</v>
      </c>
    </row>
    <row r="821" spans="1:27" s="10" customFormat="1" x14ac:dyDescent="0.25">
      <c r="A821" s="10" t="s">
        <v>38</v>
      </c>
      <c r="B821" s="10" t="s">
        <v>31</v>
      </c>
      <c r="C821" s="10" t="s">
        <v>80</v>
      </c>
      <c r="D821" s="10">
        <v>0</v>
      </c>
      <c r="E821" s="10">
        <v>0</v>
      </c>
      <c r="F821" s="10">
        <v>0</v>
      </c>
      <c r="G821" s="10">
        <v>0</v>
      </c>
      <c r="H821" s="10">
        <v>0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0">
        <v>2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4</v>
      </c>
      <c r="Y821" s="10">
        <v>0</v>
      </c>
      <c r="Z821" s="10">
        <v>88</v>
      </c>
      <c r="AA821" s="10">
        <v>14</v>
      </c>
    </row>
    <row r="822" spans="1:27" x14ac:dyDescent="0.25">
      <c r="A822" s="9" t="s">
        <v>38</v>
      </c>
      <c r="B822" s="9" t="s">
        <v>32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  <c r="R822" s="9">
        <v>8</v>
      </c>
      <c r="S822" s="9">
        <v>0</v>
      </c>
      <c r="T822" s="9">
        <v>0</v>
      </c>
      <c r="U822" s="9">
        <v>12</v>
      </c>
      <c r="V822" s="9">
        <v>0</v>
      </c>
      <c r="W822" s="9">
        <v>0</v>
      </c>
      <c r="X822" s="9">
        <v>0</v>
      </c>
      <c r="Y822" s="9">
        <v>0</v>
      </c>
      <c r="Z822" s="9">
        <v>76</v>
      </c>
      <c r="AA822" s="9">
        <v>4</v>
      </c>
    </row>
    <row r="823" spans="1:27" x14ac:dyDescent="0.25">
      <c r="A823" s="9" t="s">
        <v>38</v>
      </c>
      <c r="B823" s="9" t="s">
        <v>32</v>
      </c>
      <c r="D823" s="9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8</v>
      </c>
      <c r="S823" s="9">
        <v>0</v>
      </c>
      <c r="T823" s="9">
        <v>0</v>
      </c>
      <c r="U823" s="9">
        <v>4</v>
      </c>
      <c r="V823" s="9">
        <v>0</v>
      </c>
      <c r="W823" s="9">
        <v>0</v>
      </c>
      <c r="X823" s="9">
        <v>0</v>
      </c>
      <c r="Y823" s="9">
        <v>0</v>
      </c>
      <c r="Z823" s="9">
        <v>88</v>
      </c>
      <c r="AA823" s="9">
        <v>0</v>
      </c>
    </row>
    <row r="824" spans="1:27" x14ac:dyDescent="0.25">
      <c r="A824" s="9" t="s">
        <v>38</v>
      </c>
      <c r="B824" s="9" t="s">
        <v>32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100</v>
      </c>
      <c r="AA824" s="9">
        <v>0</v>
      </c>
    </row>
    <row r="825" spans="1:27" x14ac:dyDescent="0.25">
      <c r="A825" s="9" t="s">
        <v>38</v>
      </c>
      <c r="B825" s="9" t="s">
        <v>32</v>
      </c>
      <c r="D825" s="9">
        <v>0</v>
      </c>
      <c r="E825" s="9">
        <v>0</v>
      </c>
      <c r="F825" s="9">
        <v>0</v>
      </c>
      <c r="G825" s="9">
        <v>0</v>
      </c>
      <c r="H825" s="9">
        <v>4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16</v>
      </c>
      <c r="S825" s="9">
        <v>0</v>
      </c>
      <c r="T825" s="9">
        <v>0</v>
      </c>
      <c r="U825" s="9">
        <v>4</v>
      </c>
      <c r="V825" s="9">
        <v>0</v>
      </c>
      <c r="W825" s="9">
        <v>0</v>
      </c>
      <c r="X825" s="9">
        <v>0</v>
      </c>
      <c r="Y825" s="9">
        <v>0</v>
      </c>
      <c r="Z825" s="9">
        <v>68</v>
      </c>
      <c r="AA825" s="9">
        <v>8</v>
      </c>
    </row>
    <row r="826" spans="1:27" x14ac:dyDescent="0.25">
      <c r="A826" s="9" t="s">
        <v>38</v>
      </c>
      <c r="B826" s="9" t="s">
        <v>32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4</v>
      </c>
      <c r="U826" s="9">
        <v>0</v>
      </c>
      <c r="V826" s="9">
        <v>0</v>
      </c>
      <c r="W826" s="9">
        <v>0</v>
      </c>
      <c r="X826" s="9">
        <v>4</v>
      </c>
      <c r="Y826" s="9">
        <v>0</v>
      </c>
      <c r="Z826" s="9">
        <v>92</v>
      </c>
      <c r="AA826" s="9">
        <v>0</v>
      </c>
    </row>
    <row r="827" spans="1:27" x14ac:dyDescent="0.25">
      <c r="A827" s="9" t="s">
        <v>38</v>
      </c>
      <c r="B827" s="9" t="s">
        <v>32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9">
        <v>0</v>
      </c>
      <c r="Y827" s="9">
        <v>0</v>
      </c>
      <c r="Z827" s="9">
        <v>92</v>
      </c>
      <c r="AA827" s="9">
        <v>8</v>
      </c>
    </row>
    <row r="828" spans="1:27" x14ac:dyDescent="0.25">
      <c r="A828" s="9" t="s">
        <v>38</v>
      </c>
      <c r="B828" s="9" t="s">
        <v>32</v>
      </c>
      <c r="D828" s="9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100</v>
      </c>
      <c r="AA828" s="9">
        <v>0</v>
      </c>
    </row>
    <row r="829" spans="1:27" x14ac:dyDescent="0.25">
      <c r="A829" s="9" t="s">
        <v>38</v>
      </c>
      <c r="B829" s="9" t="s">
        <v>32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>
        <v>100</v>
      </c>
      <c r="AA829" s="9">
        <v>0</v>
      </c>
    </row>
    <row r="830" spans="1:27" x14ac:dyDescent="0.25">
      <c r="A830" s="9" t="s">
        <v>38</v>
      </c>
      <c r="B830" s="9" t="s">
        <v>32</v>
      </c>
      <c r="D830" s="9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28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68</v>
      </c>
      <c r="AA830" s="9">
        <v>4</v>
      </c>
    </row>
    <row r="831" spans="1:27" x14ac:dyDescent="0.25">
      <c r="A831" s="9" t="s">
        <v>38</v>
      </c>
      <c r="B831" s="9" t="s">
        <v>32</v>
      </c>
      <c r="D831" s="9">
        <v>0</v>
      </c>
      <c r="E831" s="9">
        <v>0</v>
      </c>
      <c r="F831" s="9">
        <v>0</v>
      </c>
      <c r="G831" s="9">
        <v>4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8</v>
      </c>
      <c r="O831" s="9">
        <v>0</v>
      </c>
      <c r="P831" s="9">
        <v>0</v>
      </c>
      <c r="Q831" s="9">
        <v>0</v>
      </c>
      <c r="R831" s="9">
        <v>4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76</v>
      </c>
      <c r="AA831" s="9">
        <v>8</v>
      </c>
    </row>
    <row r="832" spans="1:27" x14ac:dyDescent="0.25">
      <c r="A832" s="9" t="s">
        <v>38</v>
      </c>
      <c r="B832" s="9" t="s">
        <v>32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4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8</v>
      </c>
      <c r="Y832" s="9">
        <v>0</v>
      </c>
      <c r="Z832" s="9">
        <v>84</v>
      </c>
      <c r="AA832" s="9">
        <v>4</v>
      </c>
    </row>
    <row r="833" spans="1:27" x14ac:dyDescent="0.25">
      <c r="A833" s="9" t="s">
        <v>38</v>
      </c>
      <c r="B833" s="9" t="s">
        <v>32</v>
      </c>
      <c r="D833" s="9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0</v>
      </c>
      <c r="S833" s="9">
        <v>0</v>
      </c>
      <c r="T833" s="9">
        <v>12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72</v>
      </c>
      <c r="AA833" s="9">
        <v>16</v>
      </c>
    </row>
    <row r="834" spans="1:27" x14ac:dyDescent="0.25">
      <c r="A834" s="9" t="s">
        <v>38</v>
      </c>
      <c r="B834" s="9" t="s">
        <v>32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100</v>
      </c>
      <c r="AA834" s="9">
        <v>0</v>
      </c>
    </row>
    <row r="835" spans="1:27" x14ac:dyDescent="0.25">
      <c r="A835" s="9" t="s">
        <v>38</v>
      </c>
      <c r="B835" s="9" t="s">
        <v>32</v>
      </c>
      <c r="D835" s="9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0</v>
      </c>
      <c r="R835" s="9">
        <v>8</v>
      </c>
      <c r="S835" s="9">
        <v>0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92</v>
      </c>
      <c r="AA835" s="9">
        <v>0</v>
      </c>
    </row>
    <row r="836" spans="1:27" x14ac:dyDescent="0.25">
      <c r="A836" s="9" t="s">
        <v>38</v>
      </c>
      <c r="B836" s="9" t="s">
        <v>32</v>
      </c>
      <c r="D836" s="9">
        <v>0</v>
      </c>
      <c r="E836" s="9">
        <v>0</v>
      </c>
      <c r="F836" s="9">
        <v>24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P836" s="9">
        <v>0</v>
      </c>
      <c r="Q836" s="9">
        <v>0</v>
      </c>
      <c r="R836" s="9">
        <v>0</v>
      </c>
      <c r="S836" s="9">
        <v>0</v>
      </c>
      <c r="T836" s="9">
        <v>8</v>
      </c>
      <c r="U836" s="9">
        <v>0</v>
      </c>
      <c r="V836" s="9">
        <v>0</v>
      </c>
      <c r="W836" s="9">
        <v>0</v>
      </c>
      <c r="X836" s="9">
        <v>0</v>
      </c>
      <c r="Y836" s="9">
        <v>8</v>
      </c>
      <c r="Z836" s="9">
        <v>44</v>
      </c>
      <c r="AA836" s="9">
        <v>16</v>
      </c>
    </row>
    <row r="837" spans="1:27" s="10" customFormat="1" x14ac:dyDescent="0.25">
      <c r="A837" s="10" t="s">
        <v>38</v>
      </c>
      <c r="B837" s="10" t="s">
        <v>32</v>
      </c>
      <c r="C837" s="10" t="s">
        <v>84</v>
      </c>
      <c r="D837" s="10">
        <v>0</v>
      </c>
      <c r="E837" s="10">
        <v>0</v>
      </c>
      <c r="F837" s="10">
        <v>1.6</v>
      </c>
      <c r="G837" s="10">
        <v>0.266666666666667</v>
      </c>
      <c r="H837" s="10">
        <v>0.266666666666667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2.6666666666666701</v>
      </c>
      <c r="O837" s="10">
        <v>0</v>
      </c>
      <c r="P837" s="10">
        <v>0</v>
      </c>
      <c r="Q837" s="10">
        <v>0</v>
      </c>
      <c r="R837" s="10">
        <v>2.93333333333333</v>
      </c>
      <c r="S837" s="10">
        <v>0</v>
      </c>
      <c r="T837" s="10">
        <v>1.6</v>
      </c>
      <c r="U837" s="10">
        <v>1.3333333333333299</v>
      </c>
      <c r="V837" s="10">
        <v>0</v>
      </c>
      <c r="W837" s="10">
        <v>0</v>
      </c>
      <c r="X837" s="10">
        <v>0.8</v>
      </c>
      <c r="Y837" s="10">
        <v>0.53333333333333299</v>
      </c>
      <c r="Z837" s="10">
        <v>83.466666666666697</v>
      </c>
      <c r="AA837" s="10">
        <v>4.5333333333333297</v>
      </c>
    </row>
    <row r="838" spans="1:27" s="10" customFormat="1" x14ac:dyDescent="0.25">
      <c r="A838" s="10" t="s">
        <v>38</v>
      </c>
      <c r="B838" s="10" t="s">
        <v>32</v>
      </c>
      <c r="C838" s="10" t="s">
        <v>83</v>
      </c>
      <c r="D838" s="10">
        <v>0</v>
      </c>
      <c r="E838" s="10">
        <v>0</v>
      </c>
      <c r="F838" s="10">
        <v>6.1967733539318699</v>
      </c>
      <c r="G838" s="10">
        <v>1.03279555898864</v>
      </c>
      <c r="H838" s="10">
        <v>1.03279555898864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7.3549465052601199</v>
      </c>
      <c r="O838" s="10">
        <v>0</v>
      </c>
      <c r="P838" s="10">
        <v>0</v>
      </c>
      <c r="Q838" s="10">
        <v>0</v>
      </c>
      <c r="R838" s="10">
        <v>4.8911971462832602</v>
      </c>
      <c r="S838" s="10">
        <v>0</v>
      </c>
      <c r="T838" s="10">
        <v>3.6410359593311998</v>
      </c>
      <c r="U838" s="10">
        <v>3.2659863237109001</v>
      </c>
      <c r="V838" s="10">
        <v>0</v>
      </c>
      <c r="W838" s="10">
        <v>0</v>
      </c>
      <c r="X838" s="10">
        <v>2.2424476423255499</v>
      </c>
      <c r="Y838" s="10">
        <v>2.0655911179772901</v>
      </c>
      <c r="Z838" s="10">
        <v>16.061785466782698</v>
      </c>
      <c r="AA838" s="10">
        <v>5.6298524043919702</v>
      </c>
    </row>
    <row r="839" spans="1:27" s="10" customFormat="1" x14ac:dyDescent="0.25">
      <c r="A839" s="10" t="s">
        <v>38</v>
      </c>
      <c r="B839" s="10" t="s">
        <v>32</v>
      </c>
      <c r="C839" s="10" t="s">
        <v>82</v>
      </c>
      <c r="D839" s="10">
        <v>0</v>
      </c>
      <c r="E839" s="10">
        <v>0</v>
      </c>
      <c r="F839" s="10">
        <v>0</v>
      </c>
      <c r="G839" s="10">
        <v>0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88</v>
      </c>
      <c r="AA839" s="10">
        <v>4</v>
      </c>
    </row>
    <row r="840" spans="1:27" s="10" customFormat="1" x14ac:dyDescent="0.25">
      <c r="A840" s="10" t="s">
        <v>38</v>
      </c>
      <c r="B840" s="10" t="s">
        <v>32</v>
      </c>
      <c r="C840" s="10" t="s">
        <v>81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74</v>
      </c>
      <c r="AA840" s="10">
        <v>0</v>
      </c>
    </row>
    <row r="841" spans="1:27" s="10" customFormat="1" x14ac:dyDescent="0.25">
      <c r="A841" s="10" t="s">
        <v>38</v>
      </c>
      <c r="B841" s="10" t="s">
        <v>32</v>
      </c>
      <c r="C841" s="10" t="s">
        <v>80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6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96</v>
      </c>
      <c r="AA841" s="10">
        <v>8</v>
      </c>
    </row>
    <row r="842" spans="1:27" x14ac:dyDescent="0.25">
      <c r="A842" s="9" t="s">
        <v>39</v>
      </c>
      <c r="B842" s="9" t="s">
        <v>27</v>
      </c>
      <c r="D842" s="9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  <c r="W842" s="9">
        <v>0</v>
      </c>
      <c r="X842" s="9">
        <v>8</v>
      </c>
      <c r="Y842" s="9">
        <v>0</v>
      </c>
      <c r="Z842" s="9">
        <v>88</v>
      </c>
      <c r="AA842" s="9">
        <v>4</v>
      </c>
    </row>
    <row r="843" spans="1:27" x14ac:dyDescent="0.25">
      <c r="A843" s="9" t="s">
        <v>39</v>
      </c>
      <c r="B843" s="9" t="s">
        <v>27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8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0</v>
      </c>
      <c r="Z843" s="9">
        <v>84</v>
      </c>
      <c r="AA843" s="9">
        <v>8</v>
      </c>
    </row>
    <row r="844" spans="1:27" x14ac:dyDescent="0.25">
      <c r="A844" s="9" t="s">
        <v>39</v>
      </c>
      <c r="B844" s="9" t="s">
        <v>27</v>
      </c>
      <c r="D844" s="9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16</v>
      </c>
      <c r="P844" s="9">
        <v>0</v>
      </c>
      <c r="Q844" s="9">
        <v>24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9">
        <v>4</v>
      </c>
      <c r="Y844" s="9">
        <v>0</v>
      </c>
      <c r="Z844" s="9">
        <v>52</v>
      </c>
      <c r="AA844" s="9">
        <v>4</v>
      </c>
    </row>
    <row r="845" spans="1:27" x14ac:dyDescent="0.25">
      <c r="A845" s="9" t="s">
        <v>39</v>
      </c>
      <c r="B845" s="9" t="s">
        <v>27</v>
      </c>
      <c r="D845" s="9">
        <v>0</v>
      </c>
      <c r="E845" s="9">
        <v>0</v>
      </c>
      <c r="F845" s="9">
        <v>4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  <c r="O845" s="9">
        <v>4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4</v>
      </c>
      <c r="Y845" s="9">
        <v>0</v>
      </c>
      <c r="Z845" s="9">
        <v>84</v>
      </c>
      <c r="AA845" s="9">
        <v>4</v>
      </c>
    </row>
    <row r="846" spans="1:27" x14ac:dyDescent="0.25">
      <c r="A846" s="9" t="s">
        <v>39</v>
      </c>
      <c r="B846" s="9" t="s">
        <v>27</v>
      </c>
      <c r="D846" s="9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  <c r="O846" s="9">
        <v>52</v>
      </c>
      <c r="P846" s="9">
        <v>0</v>
      </c>
      <c r="Q846" s="9">
        <v>12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9">
        <v>36</v>
      </c>
      <c r="AA846" s="9">
        <v>0</v>
      </c>
    </row>
    <row r="847" spans="1:27" x14ac:dyDescent="0.25">
      <c r="A847" s="9" t="s">
        <v>39</v>
      </c>
      <c r="B847" s="9" t="s">
        <v>27</v>
      </c>
      <c r="D847" s="9">
        <v>0</v>
      </c>
      <c r="E847" s="9">
        <v>0</v>
      </c>
      <c r="F847" s="9">
        <v>0</v>
      </c>
      <c r="G847" s="9">
        <v>20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  <c r="R847" s="9">
        <v>4</v>
      </c>
      <c r="S847" s="9">
        <v>0</v>
      </c>
      <c r="T847" s="9">
        <v>0</v>
      </c>
      <c r="U847" s="9">
        <v>12</v>
      </c>
      <c r="V847" s="9">
        <v>0</v>
      </c>
      <c r="W847" s="9">
        <v>0</v>
      </c>
      <c r="X847" s="9">
        <v>8</v>
      </c>
      <c r="Y847" s="9">
        <v>4</v>
      </c>
      <c r="Z847" s="9">
        <v>36</v>
      </c>
      <c r="AA847" s="9">
        <v>16</v>
      </c>
    </row>
    <row r="848" spans="1:27" x14ac:dyDescent="0.25">
      <c r="A848" s="9" t="s">
        <v>39</v>
      </c>
      <c r="B848" s="9" t="s">
        <v>27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96</v>
      </c>
      <c r="AA848" s="9">
        <v>4</v>
      </c>
    </row>
    <row r="849" spans="1:27" x14ac:dyDescent="0.25">
      <c r="A849" s="9" t="s">
        <v>39</v>
      </c>
      <c r="B849" s="9" t="s">
        <v>27</v>
      </c>
      <c r="D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9">
        <v>4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8</v>
      </c>
      <c r="Y849" s="9">
        <v>0</v>
      </c>
      <c r="Z849" s="9">
        <v>84</v>
      </c>
      <c r="AA849" s="9">
        <v>4</v>
      </c>
    </row>
    <row r="850" spans="1:27" x14ac:dyDescent="0.25">
      <c r="A850" s="9" t="s">
        <v>39</v>
      </c>
      <c r="B850" s="9" t="s">
        <v>27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9">
        <v>4</v>
      </c>
      <c r="P850" s="9">
        <v>0</v>
      </c>
      <c r="Q850" s="9">
        <v>0</v>
      </c>
      <c r="R850" s="9">
        <v>4</v>
      </c>
      <c r="S850" s="9">
        <v>0</v>
      </c>
      <c r="T850" s="9">
        <v>0</v>
      </c>
      <c r="U850" s="9">
        <v>4</v>
      </c>
      <c r="V850" s="9">
        <v>0</v>
      </c>
      <c r="W850" s="9">
        <v>0</v>
      </c>
      <c r="X850" s="9">
        <v>0</v>
      </c>
      <c r="Y850" s="9">
        <v>0</v>
      </c>
      <c r="Z850" s="9">
        <v>80</v>
      </c>
      <c r="AA850" s="9">
        <v>8</v>
      </c>
    </row>
    <row r="851" spans="1:27" x14ac:dyDescent="0.25">
      <c r="A851" s="9" t="s">
        <v>39</v>
      </c>
      <c r="B851" s="9" t="s">
        <v>27</v>
      </c>
      <c r="D851" s="9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8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4</v>
      </c>
      <c r="Y851" s="9">
        <v>0</v>
      </c>
      <c r="Z851" s="9">
        <v>88</v>
      </c>
      <c r="AA851" s="9">
        <v>0</v>
      </c>
    </row>
    <row r="852" spans="1:27" x14ac:dyDescent="0.25">
      <c r="A852" s="9" t="s">
        <v>39</v>
      </c>
      <c r="B852" s="9" t="s">
        <v>27</v>
      </c>
      <c r="D852" s="9">
        <v>0</v>
      </c>
      <c r="E852" s="9">
        <v>0</v>
      </c>
      <c r="F852" s="9">
        <v>0</v>
      </c>
      <c r="G852" s="9">
        <v>4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12</v>
      </c>
      <c r="Y852" s="9">
        <v>0</v>
      </c>
      <c r="Z852" s="9">
        <v>84</v>
      </c>
      <c r="AA852" s="9">
        <v>0</v>
      </c>
    </row>
    <row r="853" spans="1:27" x14ac:dyDescent="0.25">
      <c r="A853" s="9" t="s">
        <v>39</v>
      </c>
      <c r="B853" s="9" t="s">
        <v>27</v>
      </c>
      <c r="D853" s="9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4</v>
      </c>
      <c r="O853" s="9">
        <v>96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0</v>
      </c>
    </row>
    <row r="854" spans="1:27" x14ac:dyDescent="0.25">
      <c r="A854" s="9" t="s">
        <v>39</v>
      </c>
      <c r="B854" s="9" t="s">
        <v>27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9">
        <v>100</v>
      </c>
      <c r="AA854" s="9">
        <v>0</v>
      </c>
    </row>
    <row r="855" spans="1:27" x14ac:dyDescent="0.25">
      <c r="A855" s="9" t="s">
        <v>39</v>
      </c>
      <c r="B855" s="9" t="s">
        <v>27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4</v>
      </c>
      <c r="Y855" s="9">
        <v>0</v>
      </c>
      <c r="Z855" s="9">
        <v>96</v>
      </c>
      <c r="AA855" s="9">
        <v>0</v>
      </c>
    </row>
    <row r="856" spans="1:27" x14ac:dyDescent="0.25">
      <c r="A856" s="9" t="s">
        <v>39</v>
      </c>
      <c r="B856" s="9" t="s">
        <v>27</v>
      </c>
      <c r="D856" s="9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12</v>
      </c>
      <c r="O856" s="9">
        <v>20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9">
        <v>68</v>
      </c>
      <c r="AA856" s="9">
        <v>0</v>
      </c>
    </row>
    <row r="857" spans="1:27" s="10" customFormat="1" x14ac:dyDescent="0.25">
      <c r="A857" s="10" t="s">
        <v>39</v>
      </c>
      <c r="B857" s="10" t="s">
        <v>27</v>
      </c>
      <c r="C857" s="10" t="s">
        <v>84</v>
      </c>
      <c r="D857" s="10">
        <v>0</v>
      </c>
      <c r="E857" s="10">
        <v>0</v>
      </c>
      <c r="F857" s="10">
        <v>0.266666666666667</v>
      </c>
      <c r="G857" s="10">
        <v>1.6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1.06666666666667</v>
      </c>
      <c r="O857" s="10">
        <v>13.0666666666667</v>
      </c>
      <c r="P857" s="10">
        <v>0</v>
      </c>
      <c r="Q857" s="10">
        <v>2.93333333333333</v>
      </c>
      <c r="R857" s="10">
        <v>1.06666666666667</v>
      </c>
      <c r="S857" s="10">
        <v>0</v>
      </c>
      <c r="T857" s="10">
        <v>0</v>
      </c>
      <c r="U857" s="10">
        <v>1.06666666666667</v>
      </c>
      <c r="V857" s="10">
        <v>0</v>
      </c>
      <c r="W857" s="10">
        <v>0</v>
      </c>
      <c r="X857" s="10">
        <v>3.4666666666666699</v>
      </c>
      <c r="Y857" s="10">
        <v>0.266666666666667</v>
      </c>
      <c r="Z857" s="10">
        <v>71.733333333333306</v>
      </c>
      <c r="AA857" s="10">
        <v>3.4666666666666699</v>
      </c>
    </row>
    <row r="858" spans="1:27" s="10" customFormat="1" x14ac:dyDescent="0.25">
      <c r="A858" s="10" t="s">
        <v>39</v>
      </c>
      <c r="B858" s="10" t="s">
        <v>27</v>
      </c>
      <c r="C858" s="10" t="s">
        <v>83</v>
      </c>
      <c r="D858" s="10">
        <v>0</v>
      </c>
      <c r="E858" s="10">
        <v>0</v>
      </c>
      <c r="F858" s="10">
        <v>1.03279555898864</v>
      </c>
      <c r="G858" s="10">
        <v>5.1934024080008099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3.1952345468719199</v>
      </c>
      <c r="O858" s="10">
        <v>26.810090495575601</v>
      </c>
      <c r="P858" s="10">
        <v>0</v>
      </c>
      <c r="Q858" s="10">
        <v>6.8396602533278203</v>
      </c>
      <c r="R858" s="10">
        <v>2.37446735881865</v>
      </c>
      <c r="S858" s="10">
        <v>0</v>
      </c>
      <c r="T858" s="10">
        <v>0</v>
      </c>
      <c r="U858" s="10">
        <v>3.1952345468719199</v>
      </c>
      <c r="V858" s="10">
        <v>0</v>
      </c>
      <c r="W858" s="10">
        <v>0</v>
      </c>
      <c r="X858" s="10">
        <v>3.9617216074881001</v>
      </c>
      <c r="Y858" s="10">
        <v>1.03279555898864</v>
      </c>
      <c r="Z858" s="10">
        <v>28.383764641747099</v>
      </c>
      <c r="AA858" s="10">
        <v>4.5018514709691004</v>
      </c>
    </row>
    <row r="859" spans="1:27" s="10" customFormat="1" x14ac:dyDescent="0.25">
      <c r="A859" s="10" t="s">
        <v>39</v>
      </c>
      <c r="B859" s="10" t="s">
        <v>27</v>
      </c>
      <c r="C859" s="10" t="s">
        <v>82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4</v>
      </c>
      <c r="Y859" s="10">
        <v>0</v>
      </c>
      <c r="Z859" s="10">
        <v>84</v>
      </c>
      <c r="AA859" s="10">
        <v>4</v>
      </c>
    </row>
    <row r="860" spans="1:27" s="10" customFormat="1" x14ac:dyDescent="0.25">
      <c r="A860" s="10" t="s">
        <v>39</v>
      </c>
      <c r="B860" s="10" t="s">
        <v>27</v>
      </c>
      <c r="C860" s="10" t="s">
        <v>81</v>
      </c>
      <c r="D860" s="10">
        <v>0</v>
      </c>
      <c r="E860" s="10">
        <v>0</v>
      </c>
      <c r="F860" s="10">
        <v>0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60</v>
      </c>
      <c r="AA860" s="10">
        <v>0</v>
      </c>
    </row>
    <row r="861" spans="1:27" s="10" customFormat="1" x14ac:dyDescent="0.25">
      <c r="A861" s="10" t="s">
        <v>39</v>
      </c>
      <c r="B861" s="10" t="s">
        <v>27</v>
      </c>
      <c r="C861" s="10" t="s">
        <v>80</v>
      </c>
      <c r="D861" s="10">
        <v>0</v>
      </c>
      <c r="E861" s="10">
        <v>0</v>
      </c>
      <c r="F861" s="10">
        <v>0</v>
      </c>
      <c r="G861" s="10">
        <v>0</v>
      </c>
      <c r="H861" s="10">
        <v>0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10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6</v>
      </c>
      <c r="Y861" s="10">
        <v>0</v>
      </c>
      <c r="Z861" s="10">
        <v>88</v>
      </c>
      <c r="AA861" s="10">
        <v>4</v>
      </c>
    </row>
    <row r="862" spans="1:27" x14ac:dyDescent="0.25">
      <c r="A862" s="9" t="s">
        <v>39</v>
      </c>
      <c r="B862" s="9" t="s">
        <v>28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0</v>
      </c>
      <c r="Y862" s="9">
        <v>0</v>
      </c>
      <c r="Z862" s="9">
        <v>100</v>
      </c>
      <c r="AA862" s="9">
        <v>0</v>
      </c>
    </row>
    <row r="863" spans="1:27" x14ac:dyDescent="0.25">
      <c r="A863" s="9" t="s">
        <v>39</v>
      </c>
      <c r="B863" s="9" t="s">
        <v>28</v>
      </c>
      <c r="D863" s="9">
        <v>0</v>
      </c>
      <c r="E863" s="9">
        <v>0</v>
      </c>
      <c r="F863" s="9">
        <v>0</v>
      </c>
      <c r="G863" s="9">
        <v>20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8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>
        <v>68</v>
      </c>
      <c r="AA863" s="9">
        <v>4</v>
      </c>
    </row>
    <row r="864" spans="1:27" x14ac:dyDescent="0.25">
      <c r="A864" s="9" t="s">
        <v>39</v>
      </c>
      <c r="B864" s="9" t="s">
        <v>28</v>
      </c>
      <c r="D864" s="9">
        <v>0</v>
      </c>
      <c r="E864" s="9">
        <v>0</v>
      </c>
      <c r="F864" s="9">
        <v>0</v>
      </c>
      <c r="G864" s="9">
        <v>64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  <c r="W864" s="9">
        <v>0</v>
      </c>
      <c r="X864" s="9">
        <v>12</v>
      </c>
      <c r="Y864" s="9">
        <v>0</v>
      </c>
      <c r="Z864" s="9">
        <v>16</v>
      </c>
      <c r="AA864" s="9">
        <v>8</v>
      </c>
    </row>
    <row r="865" spans="1:27" x14ac:dyDescent="0.25">
      <c r="A865" s="9" t="s">
        <v>39</v>
      </c>
      <c r="B865" s="9" t="s">
        <v>28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4</v>
      </c>
      <c r="O865" s="9">
        <v>20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9">
        <v>8</v>
      </c>
      <c r="Y865" s="9">
        <v>0</v>
      </c>
      <c r="Z865" s="9">
        <v>64</v>
      </c>
      <c r="AA865" s="9">
        <v>4</v>
      </c>
    </row>
    <row r="866" spans="1:27" x14ac:dyDescent="0.25">
      <c r="A866" s="9" t="s">
        <v>39</v>
      </c>
      <c r="B866" s="9" t="s">
        <v>28</v>
      </c>
      <c r="D866" s="9">
        <v>0</v>
      </c>
      <c r="E866" s="9">
        <v>0</v>
      </c>
      <c r="F866" s="9">
        <v>0</v>
      </c>
      <c r="G866" s="9">
        <v>20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4</v>
      </c>
      <c r="N866" s="9">
        <v>12</v>
      </c>
      <c r="O866" s="9">
        <v>8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56</v>
      </c>
      <c r="AA866" s="9">
        <v>0</v>
      </c>
    </row>
    <row r="867" spans="1:27" x14ac:dyDescent="0.25">
      <c r="A867" s="9" t="s">
        <v>39</v>
      </c>
      <c r="B867" s="9" t="s">
        <v>28</v>
      </c>
      <c r="D867" s="9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84</v>
      </c>
      <c r="AA867" s="9">
        <v>16</v>
      </c>
    </row>
    <row r="868" spans="1:27" x14ac:dyDescent="0.25">
      <c r="A868" s="9" t="s">
        <v>39</v>
      </c>
      <c r="B868" s="9" t="s">
        <v>28</v>
      </c>
      <c r="D868" s="9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4</v>
      </c>
      <c r="Y868" s="9">
        <v>0</v>
      </c>
      <c r="Z868" s="9">
        <v>68</v>
      </c>
      <c r="AA868" s="9">
        <v>28</v>
      </c>
    </row>
    <row r="869" spans="1:27" x14ac:dyDescent="0.25">
      <c r="A869" s="9" t="s">
        <v>39</v>
      </c>
      <c r="B869" s="9" t="s">
        <v>28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9">
        <v>4</v>
      </c>
      <c r="Y869" s="9">
        <v>0</v>
      </c>
      <c r="Z869" s="9">
        <v>88</v>
      </c>
      <c r="AA869" s="9">
        <v>8</v>
      </c>
    </row>
    <row r="870" spans="1:27" x14ac:dyDescent="0.25">
      <c r="A870" s="9" t="s">
        <v>39</v>
      </c>
      <c r="B870" s="9" t="s">
        <v>28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 s="9">
        <v>0</v>
      </c>
      <c r="T870" s="9">
        <v>0</v>
      </c>
      <c r="U870" s="9">
        <v>4</v>
      </c>
      <c r="V870" s="9">
        <v>0</v>
      </c>
      <c r="W870" s="9">
        <v>0</v>
      </c>
      <c r="X870" s="9">
        <v>0</v>
      </c>
      <c r="Y870" s="9">
        <v>0</v>
      </c>
      <c r="Z870" s="9">
        <v>88</v>
      </c>
      <c r="AA870" s="9">
        <v>8</v>
      </c>
    </row>
    <row r="871" spans="1:27" x14ac:dyDescent="0.25">
      <c r="A871" s="9" t="s">
        <v>39</v>
      </c>
      <c r="B871" s="9" t="s">
        <v>28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4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4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4</v>
      </c>
      <c r="Y871" s="9">
        <v>0</v>
      </c>
      <c r="Z871" s="9">
        <v>76</v>
      </c>
      <c r="AA871" s="9">
        <v>12</v>
      </c>
    </row>
    <row r="872" spans="1:27" x14ac:dyDescent="0.25">
      <c r="A872" s="9" t="s">
        <v>39</v>
      </c>
      <c r="B872" s="9" t="s">
        <v>28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>
        <v>100</v>
      </c>
      <c r="AA872" s="9">
        <v>0</v>
      </c>
    </row>
    <row r="873" spans="1:27" x14ac:dyDescent="0.25">
      <c r="A873" s="9" t="s">
        <v>39</v>
      </c>
      <c r="B873" s="9" t="s">
        <v>28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96</v>
      </c>
      <c r="P873" s="9">
        <v>0</v>
      </c>
      <c r="Q873" s="9">
        <v>0</v>
      </c>
      <c r="R873" s="9">
        <v>4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0</v>
      </c>
    </row>
    <row r="874" spans="1:27" x14ac:dyDescent="0.25">
      <c r="A874" s="9" t="s">
        <v>39</v>
      </c>
      <c r="B874" s="9" t="s">
        <v>28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Y874" s="9">
        <v>0</v>
      </c>
      <c r="Z874" s="9">
        <v>100</v>
      </c>
      <c r="AA874" s="9">
        <v>0</v>
      </c>
    </row>
    <row r="875" spans="1:27" x14ac:dyDescent="0.25">
      <c r="A875" s="9" t="s">
        <v>39</v>
      </c>
      <c r="B875" s="9" t="s">
        <v>28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>
        <v>92</v>
      </c>
      <c r="AA875" s="9">
        <v>8</v>
      </c>
    </row>
    <row r="876" spans="1:27" x14ac:dyDescent="0.25">
      <c r="A876" s="9" t="s">
        <v>39</v>
      </c>
      <c r="B876" s="9" t="s">
        <v>28</v>
      </c>
      <c r="D876" s="9">
        <v>0</v>
      </c>
      <c r="E876" s="9">
        <v>0</v>
      </c>
      <c r="F876" s="9">
        <v>0</v>
      </c>
      <c r="G876" s="9">
        <v>64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4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24</v>
      </c>
      <c r="AA876" s="9">
        <v>8</v>
      </c>
    </row>
    <row r="877" spans="1:27" s="10" customFormat="1" x14ac:dyDescent="0.25">
      <c r="A877" s="10" t="s">
        <v>39</v>
      </c>
      <c r="B877" s="10" t="s">
        <v>28</v>
      </c>
      <c r="C877" s="10" t="s">
        <v>84</v>
      </c>
      <c r="D877" s="10">
        <v>0</v>
      </c>
      <c r="E877" s="10">
        <v>0</v>
      </c>
      <c r="F877" s="10">
        <v>0</v>
      </c>
      <c r="G877" s="10">
        <v>11.2</v>
      </c>
      <c r="H877" s="10">
        <v>0</v>
      </c>
      <c r="I877" s="10">
        <v>0</v>
      </c>
      <c r="J877" s="10">
        <v>0</v>
      </c>
      <c r="K877" s="10">
        <v>0.266666666666667</v>
      </c>
      <c r="L877" s="10">
        <v>0</v>
      </c>
      <c r="M877" s="10">
        <v>0.266666666666667</v>
      </c>
      <c r="N877" s="10">
        <v>1.06666666666667</v>
      </c>
      <c r="O877" s="10">
        <v>8.2666666666666693</v>
      </c>
      <c r="P877" s="10">
        <v>0</v>
      </c>
      <c r="Q877" s="10">
        <v>0</v>
      </c>
      <c r="R877" s="10">
        <v>1.3333333333333299</v>
      </c>
      <c r="S877" s="10">
        <v>0</v>
      </c>
      <c r="T877" s="10">
        <v>0</v>
      </c>
      <c r="U877" s="10">
        <v>0.266666666666667</v>
      </c>
      <c r="V877" s="10">
        <v>0</v>
      </c>
      <c r="W877" s="10">
        <v>0</v>
      </c>
      <c r="X877" s="10">
        <v>2.1333333333333302</v>
      </c>
      <c r="Y877" s="10">
        <v>0</v>
      </c>
      <c r="Z877" s="10">
        <v>68.266666666666694</v>
      </c>
      <c r="AA877" s="10">
        <v>6.93333333333333</v>
      </c>
    </row>
    <row r="878" spans="1:27" s="10" customFormat="1" x14ac:dyDescent="0.25">
      <c r="A878" s="10" t="s">
        <v>39</v>
      </c>
      <c r="B878" s="10" t="s">
        <v>28</v>
      </c>
      <c r="C878" s="10" t="s">
        <v>83</v>
      </c>
      <c r="D878" s="10">
        <v>0</v>
      </c>
      <c r="E878" s="10">
        <v>0</v>
      </c>
      <c r="F878" s="10">
        <v>0</v>
      </c>
      <c r="G878" s="10">
        <v>22.536319892247601</v>
      </c>
      <c r="H878" s="10">
        <v>0</v>
      </c>
      <c r="I878" s="10">
        <v>0</v>
      </c>
      <c r="J878" s="10">
        <v>0</v>
      </c>
      <c r="K878" s="10">
        <v>1.03279555898864</v>
      </c>
      <c r="L878" s="10">
        <v>0</v>
      </c>
      <c r="M878" s="10">
        <v>1.03279555898864</v>
      </c>
      <c r="N878" s="10">
        <v>3.1952345468719199</v>
      </c>
      <c r="O878" s="10">
        <v>24.863819574022099</v>
      </c>
      <c r="P878" s="10">
        <v>0</v>
      </c>
      <c r="Q878" s="10">
        <v>0</v>
      </c>
      <c r="R878" s="10">
        <v>2.4688535993934702</v>
      </c>
      <c r="S878" s="10">
        <v>0</v>
      </c>
      <c r="T878" s="10">
        <v>0</v>
      </c>
      <c r="U878" s="10">
        <v>1.03279555898864</v>
      </c>
      <c r="V878" s="10">
        <v>0</v>
      </c>
      <c r="W878" s="10">
        <v>0</v>
      </c>
      <c r="X878" s="10">
        <v>3.6619016657365102</v>
      </c>
      <c r="Y878" s="10">
        <v>0</v>
      </c>
      <c r="Z878" s="10">
        <v>31.837683572114599</v>
      </c>
      <c r="AA878" s="10">
        <v>7.6295166170291404</v>
      </c>
    </row>
    <row r="879" spans="1:27" s="10" customFormat="1" x14ac:dyDescent="0.25">
      <c r="A879" s="10" t="s">
        <v>39</v>
      </c>
      <c r="B879" s="10" t="s">
        <v>28</v>
      </c>
      <c r="C879" s="10" t="s">
        <v>82</v>
      </c>
      <c r="D879" s="10">
        <v>0</v>
      </c>
      <c r="E879" s="10">
        <v>0</v>
      </c>
      <c r="F879" s="10">
        <v>0</v>
      </c>
      <c r="G879" s="10">
        <v>0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76</v>
      </c>
      <c r="AA879" s="10">
        <v>8</v>
      </c>
    </row>
    <row r="880" spans="1:27" s="10" customFormat="1" x14ac:dyDescent="0.25">
      <c r="A880" s="10" t="s">
        <v>39</v>
      </c>
      <c r="B880" s="10" t="s">
        <v>28</v>
      </c>
      <c r="C880" s="10" t="s">
        <v>81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60</v>
      </c>
      <c r="AA880" s="10">
        <v>0</v>
      </c>
    </row>
    <row r="881" spans="1:27" s="10" customFormat="1" x14ac:dyDescent="0.25">
      <c r="A881" s="10" t="s">
        <v>39</v>
      </c>
      <c r="B881" s="10" t="s">
        <v>28</v>
      </c>
      <c r="C881" s="10" t="s">
        <v>80</v>
      </c>
      <c r="D881" s="10">
        <v>0</v>
      </c>
      <c r="E881" s="10">
        <v>0</v>
      </c>
      <c r="F881" s="10">
        <v>0</v>
      </c>
      <c r="G881" s="10">
        <v>10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2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4</v>
      </c>
      <c r="Y881" s="10">
        <v>0</v>
      </c>
      <c r="Z881" s="10">
        <v>90</v>
      </c>
      <c r="AA881" s="10">
        <v>8</v>
      </c>
    </row>
    <row r="882" spans="1:27" x14ac:dyDescent="0.25">
      <c r="A882" s="9" t="s">
        <v>39</v>
      </c>
      <c r="B882" s="9" t="s">
        <v>29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9">
        <v>96</v>
      </c>
      <c r="AA882" s="9">
        <v>4</v>
      </c>
    </row>
    <row r="883" spans="1:27" x14ac:dyDescent="0.25">
      <c r="A883" s="9" t="s">
        <v>39</v>
      </c>
      <c r="B883" s="9" t="s">
        <v>29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9">
        <v>4</v>
      </c>
      <c r="Y883" s="9">
        <v>0</v>
      </c>
      <c r="Z883" s="9">
        <v>96</v>
      </c>
      <c r="AA883" s="9">
        <v>0</v>
      </c>
    </row>
    <row r="884" spans="1:27" x14ac:dyDescent="0.25">
      <c r="A884" s="9" t="s">
        <v>39</v>
      </c>
      <c r="B884" s="9" t="s">
        <v>29</v>
      </c>
      <c r="D884" s="9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8</v>
      </c>
      <c r="Y884" s="9">
        <v>0</v>
      </c>
      <c r="Z884" s="9">
        <v>84</v>
      </c>
      <c r="AA884" s="9">
        <v>8</v>
      </c>
    </row>
    <row r="885" spans="1:27" x14ac:dyDescent="0.25">
      <c r="A885" s="9" t="s">
        <v>39</v>
      </c>
      <c r="B885" s="9" t="s">
        <v>29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4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4</v>
      </c>
      <c r="Y885" s="9">
        <v>0</v>
      </c>
      <c r="Z885" s="9">
        <v>80</v>
      </c>
      <c r="AA885" s="9">
        <v>12</v>
      </c>
    </row>
    <row r="886" spans="1:27" x14ac:dyDescent="0.25">
      <c r="A886" s="9" t="s">
        <v>39</v>
      </c>
      <c r="B886" s="9" t="s">
        <v>29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9">
        <v>0</v>
      </c>
      <c r="T886" s="9">
        <v>0</v>
      </c>
      <c r="U886" s="9">
        <v>4</v>
      </c>
      <c r="V886" s="9">
        <v>0</v>
      </c>
      <c r="W886" s="9">
        <v>0</v>
      </c>
      <c r="X886" s="9">
        <v>8</v>
      </c>
      <c r="Y886" s="9">
        <v>4</v>
      </c>
      <c r="Z886" s="9">
        <v>68</v>
      </c>
      <c r="AA886" s="9">
        <v>16</v>
      </c>
    </row>
    <row r="887" spans="1:27" x14ac:dyDescent="0.25">
      <c r="A887" s="9" t="s">
        <v>39</v>
      </c>
      <c r="B887" s="9" t="s">
        <v>29</v>
      </c>
      <c r="D887" s="9">
        <v>0</v>
      </c>
      <c r="E887" s="9">
        <v>0</v>
      </c>
      <c r="F887" s="9">
        <v>0</v>
      </c>
      <c r="G887" s="9">
        <v>80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20</v>
      </c>
      <c r="AA887" s="9">
        <v>0</v>
      </c>
    </row>
    <row r="888" spans="1:27" x14ac:dyDescent="0.25">
      <c r="A888" s="9" t="s">
        <v>39</v>
      </c>
      <c r="B888" s="9" t="s">
        <v>29</v>
      </c>
      <c r="D888" s="9">
        <v>0</v>
      </c>
      <c r="E888" s="9">
        <v>0</v>
      </c>
      <c r="F888" s="9">
        <v>0</v>
      </c>
      <c r="G888" s="9">
        <v>96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  <c r="R888" s="9">
        <v>4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</row>
    <row r="889" spans="1:27" x14ac:dyDescent="0.25">
      <c r="A889" s="9" t="s">
        <v>39</v>
      </c>
      <c r="B889" s="9" t="s">
        <v>29</v>
      </c>
      <c r="D889" s="9">
        <v>0</v>
      </c>
      <c r="E889" s="9">
        <v>0</v>
      </c>
      <c r="F889" s="9">
        <v>0</v>
      </c>
      <c r="G889" s="9">
        <v>80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4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16</v>
      </c>
      <c r="AA889" s="9">
        <v>0</v>
      </c>
    </row>
    <row r="890" spans="1:27" x14ac:dyDescent="0.25">
      <c r="A890" s="9" t="s">
        <v>39</v>
      </c>
      <c r="B890" s="9" t="s">
        <v>29</v>
      </c>
      <c r="D890" s="9">
        <v>0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8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12</v>
      </c>
      <c r="Y890" s="9">
        <v>0</v>
      </c>
      <c r="Z890" s="9">
        <v>80</v>
      </c>
      <c r="AA890" s="9">
        <v>0</v>
      </c>
    </row>
    <row r="891" spans="1:27" x14ac:dyDescent="0.25">
      <c r="A891" s="9" t="s">
        <v>39</v>
      </c>
      <c r="B891" s="9" t="s">
        <v>29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96</v>
      </c>
      <c r="AA891" s="9">
        <v>4</v>
      </c>
    </row>
    <row r="892" spans="1:27" x14ac:dyDescent="0.25">
      <c r="A892" s="9" t="s">
        <v>39</v>
      </c>
      <c r="B892" s="9" t="s">
        <v>29</v>
      </c>
      <c r="D892" s="9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0</v>
      </c>
      <c r="X892" s="9">
        <v>8</v>
      </c>
      <c r="Y892" s="9">
        <v>0</v>
      </c>
      <c r="Z892" s="9">
        <v>80</v>
      </c>
      <c r="AA892" s="9">
        <v>12</v>
      </c>
    </row>
    <row r="893" spans="1:27" x14ac:dyDescent="0.25">
      <c r="A893" s="9" t="s">
        <v>39</v>
      </c>
      <c r="B893" s="9" t="s">
        <v>29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9">
        <v>4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96</v>
      </c>
      <c r="AA893" s="9">
        <v>0</v>
      </c>
    </row>
    <row r="894" spans="1:27" x14ac:dyDescent="0.25">
      <c r="A894" s="9" t="s">
        <v>39</v>
      </c>
      <c r="B894" s="9" t="s">
        <v>29</v>
      </c>
      <c r="D894" s="9">
        <v>0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12</v>
      </c>
      <c r="O894" s="9">
        <v>52</v>
      </c>
      <c r="P894" s="9">
        <v>0</v>
      </c>
      <c r="Q894" s="9">
        <v>0</v>
      </c>
      <c r="R894" s="9">
        <v>4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0</v>
      </c>
      <c r="Y894" s="9">
        <v>0</v>
      </c>
      <c r="Z894" s="9">
        <v>32</v>
      </c>
      <c r="AA894" s="9">
        <v>0</v>
      </c>
    </row>
    <row r="895" spans="1:27" x14ac:dyDescent="0.25">
      <c r="A895" s="9" t="s">
        <v>39</v>
      </c>
      <c r="B895" s="9" t="s">
        <v>29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24</v>
      </c>
      <c r="O895" s="9">
        <v>4</v>
      </c>
      <c r="P895" s="9">
        <v>0</v>
      </c>
      <c r="Q895" s="9">
        <v>8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4</v>
      </c>
      <c r="Y895" s="9">
        <v>4</v>
      </c>
      <c r="Z895" s="9">
        <v>56</v>
      </c>
      <c r="AA895" s="9">
        <v>0</v>
      </c>
    </row>
    <row r="896" spans="1:27" x14ac:dyDescent="0.25">
      <c r="A896" s="9" t="s">
        <v>39</v>
      </c>
      <c r="B896" s="9" t="s">
        <v>29</v>
      </c>
      <c r="D896" s="9">
        <v>0</v>
      </c>
      <c r="E896" s="9">
        <v>0</v>
      </c>
      <c r="F896" s="9">
        <v>0</v>
      </c>
      <c r="G896" s="9">
        <v>80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16</v>
      </c>
      <c r="AA896" s="9">
        <v>4</v>
      </c>
    </row>
    <row r="897" spans="1:27" s="10" customFormat="1" x14ac:dyDescent="0.25">
      <c r="A897" s="10" t="s">
        <v>39</v>
      </c>
      <c r="B897" s="10" t="s">
        <v>29</v>
      </c>
      <c r="C897" s="10" t="s">
        <v>84</v>
      </c>
      <c r="D897" s="10">
        <v>0</v>
      </c>
      <c r="E897" s="10">
        <v>0</v>
      </c>
      <c r="F897" s="10">
        <v>0</v>
      </c>
      <c r="G897" s="10">
        <v>22.4</v>
      </c>
      <c r="H897" s="10">
        <v>0</v>
      </c>
      <c r="I897" s="10">
        <v>0</v>
      </c>
      <c r="J897" s="10">
        <v>0</v>
      </c>
      <c r="K897" s="10">
        <v>0.53333333333333299</v>
      </c>
      <c r="L897" s="10">
        <v>0</v>
      </c>
      <c r="M897" s="10">
        <v>0</v>
      </c>
      <c r="N897" s="10">
        <v>2.4</v>
      </c>
      <c r="O897" s="10">
        <v>4</v>
      </c>
      <c r="P897" s="10">
        <v>0</v>
      </c>
      <c r="Q897" s="10">
        <v>0.53333333333333299</v>
      </c>
      <c r="R897" s="10">
        <v>1.06666666666667</v>
      </c>
      <c r="S897" s="10">
        <v>0</v>
      </c>
      <c r="T897" s="10">
        <v>0</v>
      </c>
      <c r="U897" s="10">
        <v>0.266666666666667</v>
      </c>
      <c r="V897" s="10">
        <v>0</v>
      </c>
      <c r="W897" s="10">
        <v>0</v>
      </c>
      <c r="X897" s="10">
        <v>3.2</v>
      </c>
      <c r="Y897" s="10">
        <v>0.53333333333333299</v>
      </c>
      <c r="Z897" s="10">
        <v>61.066666666666698</v>
      </c>
      <c r="AA897" s="10">
        <v>4</v>
      </c>
    </row>
    <row r="898" spans="1:27" s="10" customFormat="1" x14ac:dyDescent="0.25">
      <c r="A898" s="10" t="s">
        <v>39</v>
      </c>
      <c r="B898" s="10" t="s">
        <v>29</v>
      </c>
      <c r="C898" s="10" t="s">
        <v>83</v>
      </c>
      <c r="D898" s="10">
        <v>0</v>
      </c>
      <c r="E898" s="10">
        <v>0</v>
      </c>
      <c r="F898" s="10">
        <v>0</v>
      </c>
      <c r="G898" s="10">
        <v>38.627895175821898</v>
      </c>
      <c r="H898" s="10">
        <v>0</v>
      </c>
      <c r="I898" s="10">
        <v>0</v>
      </c>
      <c r="J898" s="10">
        <v>0</v>
      </c>
      <c r="K898" s="10">
        <v>2.0655911179772901</v>
      </c>
      <c r="L898" s="10">
        <v>0</v>
      </c>
      <c r="M898" s="10">
        <v>0</v>
      </c>
      <c r="N898" s="10">
        <v>6.72734292697666</v>
      </c>
      <c r="O898" s="10">
        <v>13.3523673663405</v>
      </c>
      <c r="P898" s="10">
        <v>0</v>
      </c>
      <c r="Q898" s="10">
        <v>2.0655911179772901</v>
      </c>
      <c r="R898" s="10">
        <v>1.83095083286825</v>
      </c>
      <c r="S898" s="10">
        <v>0</v>
      </c>
      <c r="T898" s="10">
        <v>0</v>
      </c>
      <c r="U898" s="10">
        <v>1.03279555898864</v>
      </c>
      <c r="V898" s="10">
        <v>0</v>
      </c>
      <c r="W898" s="10">
        <v>0</v>
      </c>
      <c r="X898" s="10">
        <v>4.0567404226968797</v>
      </c>
      <c r="Y898" s="10">
        <v>1.4074631010979901</v>
      </c>
      <c r="Z898" s="10">
        <v>34.722299682453297</v>
      </c>
      <c r="AA898" s="10">
        <v>5.4510811509539696</v>
      </c>
    </row>
    <row r="899" spans="1:27" s="10" customFormat="1" x14ac:dyDescent="0.25">
      <c r="A899" s="10" t="s">
        <v>39</v>
      </c>
      <c r="B899" s="10" t="s">
        <v>29</v>
      </c>
      <c r="C899" s="10" t="s">
        <v>82</v>
      </c>
      <c r="D899" s="10">
        <v>0</v>
      </c>
      <c r="E899" s="10">
        <v>0</v>
      </c>
      <c r="F899" s="10">
        <v>0</v>
      </c>
      <c r="G899" s="10">
        <v>0</v>
      </c>
      <c r="H899" s="10">
        <v>0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80</v>
      </c>
      <c r="AA899" s="10">
        <v>0</v>
      </c>
    </row>
    <row r="900" spans="1:27" s="10" customFormat="1" x14ac:dyDescent="0.25">
      <c r="A900" s="10" t="s">
        <v>39</v>
      </c>
      <c r="B900" s="10" t="s">
        <v>29</v>
      </c>
      <c r="C900" s="10" t="s">
        <v>81</v>
      </c>
      <c r="D900" s="10">
        <v>0</v>
      </c>
      <c r="E900" s="10">
        <v>0</v>
      </c>
      <c r="F900" s="10">
        <v>0</v>
      </c>
      <c r="G900" s="10">
        <v>0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26</v>
      </c>
      <c r="AA900" s="10">
        <v>0</v>
      </c>
    </row>
    <row r="901" spans="1:27" s="10" customFormat="1" x14ac:dyDescent="0.25">
      <c r="A901" s="10" t="s">
        <v>39</v>
      </c>
      <c r="B901" s="10" t="s">
        <v>29</v>
      </c>
      <c r="C901" s="10" t="s">
        <v>80</v>
      </c>
      <c r="D901" s="10">
        <v>0</v>
      </c>
      <c r="E901" s="10">
        <v>0</v>
      </c>
      <c r="F901" s="10">
        <v>0</v>
      </c>
      <c r="G901" s="10">
        <v>40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2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6</v>
      </c>
      <c r="Y901" s="10">
        <v>0</v>
      </c>
      <c r="Z901" s="10">
        <v>90</v>
      </c>
      <c r="AA901" s="10">
        <v>6</v>
      </c>
    </row>
    <row r="902" spans="1:27" x14ac:dyDescent="0.25">
      <c r="A902" s="9" t="s">
        <v>39</v>
      </c>
      <c r="B902" s="9" t="s">
        <v>30</v>
      </c>
      <c r="D902" s="9">
        <v>0</v>
      </c>
      <c r="E902" s="9">
        <v>0</v>
      </c>
      <c r="F902" s="9">
        <v>0</v>
      </c>
      <c r="G902" s="9">
        <v>4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  <c r="O902" s="9">
        <v>4</v>
      </c>
      <c r="P902" s="9">
        <v>0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9">
        <v>4</v>
      </c>
      <c r="Y902" s="9">
        <v>0</v>
      </c>
      <c r="Z902" s="9">
        <v>88</v>
      </c>
      <c r="AA902" s="9">
        <v>0</v>
      </c>
    </row>
    <row r="903" spans="1:27" x14ac:dyDescent="0.25">
      <c r="A903" s="9" t="s">
        <v>39</v>
      </c>
      <c r="B903" s="9" t="s">
        <v>30</v>
      </c>
      <c r="D903" s="9">
        <v>0</v>
      </c>
      <c r="E903" s="9">
        <v>0</v>
      </c>
      <c r="F903" s="9">
        <v>0</v>
      </c>
      <c r="G903" s="9">
        <v>92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v>0</v>
      </c>
      <c r="R903" s="9">
        <v>8</v>
      </c>
      <c r="S903" s="9">
        <v>0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</row>
    <row r="904" spans="1:27" x14ac:dyDescent="0.25">
      <c r="A904" s="9" t="s">
        <v>39</v>
      </c>
      <c r="B904" s="9" t="s">
        <v>30</v>
      </c>
      <c r="D904" s="9">
        <v>0</v>
      </c>
      <c r="E904" s="9">
        <v>0</v>
      </c>
      <c r="F904" s="9">
        <v>0</v>
      </c>
      <c r="G904" s="9">
        <v>100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v>0</v>
      </c>
      <c r="R904" s="9">
        <v>0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</row>
    <row r="905" spans="1:27" x14ac:dyDescent="0.25">
      <c r="A905" s="9" t="s">
        <v>39</v>
      </c>
      <c r="B905" s="9" t="s">
        <v>30</v>
      </c>
      <c r="D905" s="9">
        <v>0</v>
      </c>
      <c r="E905" s="9">
        <v>0</v>
      </c>
      <c r="F905" s="9">
        <v>0</v>
      </c>
      <c r="G905" s="9">
        <v>60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0</v>
      </c>
      <c r="Z905" s="9">
        <v>40</v>
      </c>
      <c r="AA905" s="9">
        <v>0</v>
      </c>
    </row>
    <row r="906" spans="1:27" x14ac:dyDescent="0.25">
      <c r="A906" s="9" t="s">
        <v>39</v>
      </c>
      <c r="B906" s="9" t="s">
        <v>30</v>
      </c>
      <c r="D906" s="9">
        <v>0</v>
      </c>
      <c r="E906" s="9">
        <v>0</v>
      </c>
      <c r="F906" s="9">
        <v>0</v>
      </c>
      <c r="G906" s="9">
        <v>92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4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9">
        <v>4</v>
      </c>
      <c r="AA906" s="9">
        <v>0</v>
      </c>
    </row>
    <row r="907" spans="1:27" x14ac:dyDescent="0.25">
      <c r="A907" s="9" t="s">
        <v>39</v>
      </c>
      <c r="B907" s="9" t="s">
        <v>30</v>
      </c>
      <c r="D907" s="9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9">
        <v>92</v>
      </c>
      <c r="AA907" s="9">
        <v>8</v>
      </c>
    </row>
    <row r="908" spans="1:27" x14ac:dyDescent="0.25">
      <c r="A908" s="9" t="s">
        <v>39</v>
      </c>
      <c r="B908" s="9" t="s">
        <v>30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P908" s="9">
        <v>0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9">
        <v>0</v>
      </c>
      <c r="Y908" s="9">
        <v>0</v>
      </c>
      <c r="Z908" s="9">
        <v>92</v>
      </c>
      <c r="AA908" s="9">
        <v>8</v>
      </c>
    </row>
    <row r="909" spans="1:27" x14ac:dyDescent="0.25">
      <c r="A909" s="9" t="s">
        <v>39</v>
      </c>
      <c r="B909" s="9" t="s">
        <v>30</v>
      </c>
      <c r="D909" s="9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9">
        <v>96</v>
      </c>
      <c r="AA909" s="9">
        <v>4</v>
      </c>
    </row>
    <row r="910" spans="1:27" x14ac:dyDescent="0.25">
      <c r="A910" s="9" t="s">
        <v>39</v>
      </c>
      <c r="B910" s="9" t="s">
        <v>30</v>
      </c>
      <c r="D910" s="9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68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9">
        <v>28</v>
      </c>
      <c r="AA910" s="9">
        <v>4</v>
      </c>
    </row>
    <row r="911" spans="1:27" x14ac:dyDescent="0.25">
      <c r="A911" s="9" t="s">
        <v>39</v>
      </c>
      <c r="B911" s="9" t="s">
        <v>30</v>
      </c>
      <c r="D911" s="9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8</v>
      </c>
      <c r="O911" s="9">
        <v>4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4</v>
      </c>
      <c r="Y911" s="9">
        <v>0</v>
      </c>
      <c r="Z911" s="9">
        <v>80</v>
      </c>
      <c r="AA911" s="9">
        <v>4</v>
      </c>
    </row>
    <row r="912" spans="1:27" x14ac:dyDescent="0.25">
      <c r="A912" s="9" t="s">
        <v>39</v>
      </c>
      <c r="B912" s="9" t="s">
        <v>30</v>
      </c>
      <c r="D912" s="9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8</v>
      </c>
      <c r="O912" s="9">
        <v>16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9">
        <v>0</v>
      </c>
      <c r="Y912" s="9">
        <v>0</v>
      </c>
      <c r="Z912" s="9">
        <v>76</v>
      </c>
      <c r="AA912" s="9">
        <v>0</v>
      </c>
    </row>
    <row r="913" spans="1:27" x14ac:dyDescent="0.25">
      <c r="A913" s="9" t="s">
        <v>39</v>
      </c>
      <c r="B913" s="9" t="s">
        <v>30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0</v>
      </c>
      <c r="Z913" s="9">
        <v>100</v>
      </c>
      <c r="AA913" s="9">
        <v>0</v>
      </c>
    </row>
    <row r="914" spans="1:27" x14ac:dyDescent="0.25">
      <c r="A914" s="9" t="s">
        <v>39</v>
      </c>
      <c r="B914" s="9" t="s">
        <v>30</v>
      </c>
      <c r="D914" s="9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9">
        <v>100</v>
      </c>
      <c r="AA914" s="9">
        <v>0</v>
      </c>
    </row>
    <row r="915" spans="1:27" x14ac:dyDescent="0.25">
      <c r="A915" s="9" t="s">
        <v>39</v>
      </c>
      <c r="B915" s="9" t="s">
        <v>30</v>
      </c>
      <c r="D915" s="9">
        <v>0</v>
      </c>
      <c r="E915" s="9">
        <v>0</v>
      </c>
      <c r="F915" s="9">
        <v>0</v>
      </c>
      <c r="G915" s="9">
        <v>16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4</v>
      </c>
      <c r="S915" s="9">
        <v>0</v>
      </c>
      <c r="T915" s="9">
        <v>0</v>
      </c>
      <c r="U915" s="9">
        <v>0</v>
      </c>
      <c r="V915" s="9">
        <v>0</v>
      </c>
      <c r="W915" s="9">
        <v>0</v>
      </c>
      <c r="X915" s="9">
        <v>4</v>
      </c>
      <c r="Y915" s="9">
        <v>4</v>
      </c>
      <c r="Z915" s="9">
        <v>72</v>
      </c>
      <c r="AA915" s="9">
        <v>0</v>
      </c>
    </row>
    <row r="916" spans="1:27" x14ac:dyDescent="0.25">
      <c r="A916" s="9" t="s">
        <v>39</v>
      </c>
      <c r="B916" s="9" t="s">
        <v>30</v>
      </c>
      <c r="D916" s="9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12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4</v>
      </c>
      <c r="Y916" s="9">
        <v>0</v>
      </c>
      <c r="Z916" s="9">
        <v>84</v>
      </c>
      <c r="AA916" s="9">
        <v>0</v>
      </c>
    </row>
    <row r="917" spans="1:27" s="10" customFormat="1" x14ac:dyDescent="0.25">
      <c r="A917" s="10" t="s">
        <v>39</v>
      </c>
      <c r="B917" s="10" t="s">
        <v>30</v>
      </c>
      <c r="C917" s="10" t="s">
        <v>84</v>
      </c>
      <c r="D917" s="10">
        <v>0</v>
      </c>
      <c r="E917" s="10">
        <v>0</v>
      </c>
      <c r="F917" s="10">
        <v>0</v>
      </c>
      <c r="G917" s="10">
        <v>24.266666666666701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0">
        <v>1.06666666666667</v>
      </c>
      <c r="O917" s="10">
        <v>6.93333333333333</v>
      </c>
      <c r="P917" s="10">
        <v>0</v>
      </c>
      <c r="Q917" s="10">
        <v>0</v>
      </c>
      <c r="R917" s="10">
        <v>1.06666666666667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1.06666666666667</v>
      </c>
      <c r="Y917" s="10">
        <v>0.266666666666667</v>
      </c>
      <c r="Z917" s="10">
        <v>63.466666666666697</v>
      </c>
      <c r="AA917" s="10">
        <v>1.86666666666667</v>
      </c>
    </row>
    <row r="918" spans="1:27" s="10" customFormat="1" x14ac:dyDescent="0.25">
      <c r="A918" s="10" t="s">
        <v>39</v>
      </c>
      <c r="B918" s="10" t="s">
        <v>30</v>
      </c>
      <c r="C918" s="10" t="s">
        <v>83</v>
      </c>
      <c r="D918" s="10">
        <v>0</v>
      </c>
      <c r="E918" s="10">
        <v>0</v>
      </c>
      <c r="F918" s="10">
        <v>0</v>
      </c>
      <c r="G918" s="10">
        <v>39.611446157224101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2.81492620219599</v>
      </c>
      <c r="O918" s="10">
        <v>17.5965364557374</v>
      </c>
      <c r="P918" s="10">
        <v>0</v>
      </c>
      <c r="Q918" s="10">
        <v>0</v>
      </c>
      <c r="R918" s="10">
        <v>2.37446735881865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1.83095083286825</v>
      </c>
      <c r="Y918" s="10">
        <v>1.03279555898864</v>
      </c>
      <c r="Z918" s="10">
        <v>38.063605914811802</v>
      </c>
      <c r="AA918" s="10">
        <v>2.9728934118288302</v>
      </c>
    </row>
    <row r="919" spans="1:27" s="10" customFormat="1" x14ac:dyDescent="0.25">
      <c r="A919" s="10" t="s">
        <v>39</v>
      </c>
      <c r="B919" s="10" t="s">
        <v>30</v>
      </c>
      <c r="C919" s="10" t="s">
        <v>82</v>
      </c>
      <c r="D919" s="10">
        <v>0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80</v>
      </c>
      <c r="AA919" s="10">
        <v>0</v>
      </c>
    </row>
    <row r="920" spans="1:27" s="10" customFormat="1" x14ac:dyDescent="0.25">
      <c r="A920" s="10" t="s">
        <v>39</v>
      </c>
      <c r="B920" s="10" t="s">
        <v>30</v>
      </c>
      <c r="C920" s="10" t="s">
        <v>81</v>
      </c>
      <c r="D920" s="10">
        <v>0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34</v>
      </c>
      <c r="AA920" s="10">
        <v>0</v>
      </c>
    </row>
    <row r="921" spans="1:27" s="10" customFormat="1" x14ac:dyDescent="0.25">
      <c r="A921" s="10" t="s">
        <v>39</v>
      </c>
      <c r="B921" s="10" t="s">
        <v>30</v>
      </c>
      <c r="C921" s="10" t="s">
        <v>80</v>
      </c>
      <c r="D921" s="10">
        <v>0</v>
      </c>
      <c r="E921" s="10">
        <v>0</v>
      </c>
      <c r="F921" s="10">
        <v>0</v>
      </c>
      <c r="G921" s="10">
        <v>38</v>
      </c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4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2</v>
      </c>
      <c r="Y921" s="10">
        <v>0</v>
      </c>
      <c r="Z921" s="10">
        <v>92</v>
      </c>
      <c r="AA921" s="10">
        <v>4</v>
      </c>
    </row>
    <row r="922" spans="1:27" x14ac:dyDescent="0.25">
      <c r="A922" s="9" t="s">
        <v>39</v>
      </c>
      <c r="B922" s="9" t="s">
        <v>31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4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96</v>
      </c>
      <c r="AA922" s="9">
        <v>0</v>
      </c>
    </row>
    <row r="923" spans="1:27" x14ac:dyDescent="0.25">
      <c r="A923" s="9" t="s">
        <v>39</v>
      </c>
      <c r="B923" s="9" t="s">
        <v>31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  <c r="O923" s="9">
        <v>8</v>
      </c>
      <c r="P923" s="9">
        <v>0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  <c r="W923" s="9">
        <v>0</v>
      </c>
      <c r="X923" s="9">
        <v>0</v>
      </c>
      <c r="Y923" s="9">
        <v>0</v>
      </c>
      <c r="Z923" s="9">
        <v>92</v>
      </c>
      <c r="AA923" s="9">
        <v>0</v>
      </c>
    </row>
    <row r="924" spans="1:27" x14ac:dyDescent="0.25">
      <c r="A924" s="9" t="s">
        <v>39</v>
      </c>
      <c r="B924" s="9" t="s">
        <v>31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 s="9">
        <v>0</v>
      </c>
      <c r="T924" s="9">
        <v>0</v>
      </c>
      <c r="U924" s="9">
        <v>0</v>
      </c>
      <c r="V924" s="9">
        <v>0</v>
      </c>
      <c r="W924" s="9">
        <v>0</v>
      </c>
      <c r="X924" s="9">
        <v>0</v>
      </c>
      <c r="Y924" s="9">
        <v>0</v>
      </c>
      <c r="Z924" s="9">
        <v>100</v>
      </c>
      <c r="AA924" s="9">
        <v>0</v>
      </c>
    </row>
    <row r="925" spans="1:27" x14ac:dyDescent="0.25">
      <c r="A925" s="9" t="s">
        <v>39</v>
      </c>
      <c r="B925" s="9" t="s">
        <v>31</v>
      </c>
      <c r="D925" s="9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0</v>
      </c>
      <c r="X925" s="9">
        <v>0</v>
      </c>
      <c r="Y925" s="9">
        <v>0</v>
      </c>
      <c r="Z925" s="9">
        <v>100</v>
      </c>
      <c r="AA925" s="9">
        <v>0</v>
      </c>
    </row>
    <row r="926" spans="1:27" x14ac:dyDescent="0.25">
      <c r="A926" s="9" t="s">
        <v>39</v>
      </c>
      <c r="B926" s="9" t="s">
        <v>31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4</v>
      </c>
      <c r="P926" s="9">
        <v>0</v>
      </c>
      <c r="Q926" s="9">
        <v>0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9">
        <v>4</v>
      </c>
      <c r="Y926" s="9">
        <v>0</v>
      </c>
      <c r="Z926" s="9">
        <v>84</v>
      </c>
      <c r="AA926" s="9">
        <v>8</v>
      </c>
    </row>
    <row r="927" spans="1:27" x14ac:dyDescent="0.25">
      <c r="A927" s="9" t="s">
        <v>39</v>
      </c>
      <c r="B927" s="9" t="s">
        <v>31</v>
      </c>
      <c r="D927" s="9">
        <v>0</v>
      </c>
      <c r="E927" s="9">
        <v>0</v>
      </c>
      <c r="F927" s="9">
        <v>0</v>
      </c>
      <c r="G927" s="9">
        <v>88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Y927" s="9">
        <v>0</v>
      </c>
      <c r="Z927" s="9">
        <v>12</v>
      </c>
      <c r="AA927" s="9">
        <v>0</v>
      </c>
    </row>
    <row r="928" spans="1:27" x14ac:dyDescent="0.25">
      <c r="A928" s="9" t="s">
        <v>39</v>
      </c>
      <c r="B928" s="9" t="s">
        <v>31</v>
      </c>
      <c r="D928" s="9">
        <v>0</v>
      </c>
      <c r="E928" s="9">
        <v>0</v>
      </c>
      <c r="F928" s="9">
        <v>0</v>
      </c>
      <c r="G928" s="9">
        <v>28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0</v>
      </c>
      <c r="P928" s="9">
        <v>0</v>
      </c>
      <c r="Q928" s="9">
        <v>0</v>
      </c>
      <c r="R928" s="9">
        <v>0</v>
      </c>
      <c r="S928" s="9">
        <v>0</v>
      </c>
      <c r="T928" s="9">
        <v>0</v>
      </c>
      <c r="U928" s="9">
        <v>0</v>
      </c>
      <c r="V928" s="9">
        <v>0</v>
      </c>
      <c r="W928" s="9">
        <v>0</v>
      </c>
      <c r="X928" s="9">
        <v>0</v>
      </c>
      <c r="Y928" s="9">
        <v>0</v>
      </c>
      <c r="Z928" s="9">
        <v>68</v>
      </c>
      <c r="AA928" s="9">
        <v>4</v>
      </c>
    </row>
    <row r="929" spans="1:27" x14ac:dyDescent="0.25">
      <c r="A929" s="9" t="s">
        <v>39</v>
      </c>
      <c r="B929" s="9" t="s">
        <v>31</v>
      </c>
      <c r="D929" s="9">
        <v>0</v>
      </c>
      <c r="E929" s="9">
        <v>0</v>
      </c>
      <c r="F929" s="9">
        <v>0</v>
      </c>
      <c r="G929" s="9">
        <v>92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0</v>
      </c>
      <c r="O929" s="9">
        <v>0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9">
        <v>8</v>
      </c>
      <c r="AA929" s="9">
        <v>0</v>
      </c>
    </row>
    <row r="930" spans="1:27" x14ac:dyDescent="0.25">
      <c r="A930" s="9" t="s">
        <v>39</v>
      </c>
      <c r="B930" s="9" t="s">
        <v>31</v>
      </c>
      <c r="D930" s="9">
        <v>0</v>
      </c>
      <c r="E930" s="9">
        <v>0</v>
      </c>
      <c r="F930" s="9">
        <v>0</v>
      </c>
      <c r="G930" s="9">
        <v>28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4</v>
      </c>
      <c r="O930" s="9">
        <v>68</v>
      </c>
      <c r="P930" s="9">
        <v>0</v>
      </c>
      <c r="Q930" s="9">
        <v>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9">
        <v>0</v>
      </c>
    </row>
    <row r="931" spans="1:27" x14ac:dyDescent="0.25">
      <c r="A931" s="9" t="s">
        <v>39</v>
      </c>
      <c r="B931" s="9" t="s">
        <v>31</v>
      </c>
      <c r="D931" s="9">
        <v>0</v>
      </c>
      <c r="E931" s="9">
        <v>0</v>
      </c>
      <c r="F931" s="9">
        <v>0</v>
      </c>
      <c r="G931" s="9">
        <v>96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0</v>
      </c>
      <c r="O931" s="9">
        <v>0</v>
      </c>
      <c r="P931" s="9">
        <v>0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4</v>
      </c>
      <c r="AA931" s="9">
        <v>0</v>
      </c>
    </row>
    <row r="932" spans="1:27" x14ac:dyDescent="0.25">
      <c r="A932" s="9" t="s">
        <v>39</v>
      </c>
      <c r="B932" s="9" t="s">
        <v>31</v>
      </c>
      <c r="D932" s="9">
        <v>0</v>
      </c>
      <c r="E932" s="9">
        <v>0</v>
      </c>
      <c r="F932" s="9">
        <v>0</v>
      </c>
      <c r="G932" s="9">
        <v>100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</row>
    <row r="933" spans="1:27" x14ac:dyDescent="0.25">
      <c r="A933" s="9" t="s">
        <v>39</v>
      </c>
      <c r="B933" s="9" t="s">
        <v>31</v>
      </c>
      <c r="D933" s="9">
        <v>0</v>
      </c>
      <c r="E933" s="9">
        <v>0</v>
      </c>
      <c r="F933" s="9">
        <v>0</v>
      </c>
      <c r="G933" s="9">
        <v>60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  <c r="O933" s="9">
        <v>0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  <c r="W933" s="9">
        <v>0</v>
      </c>
      <c r="X933" s="9">
        <v>0</v>
      </c>
      <c r="Y933" s="9">
        <v>0</v>
      </c>
      <c r="Z933" s="9">
        <v>40</v>
      </c>
      <c r="AA933" s="9">
        <v>0</v>
      </c>
    </row>
    <row r="934" spans="1:27" x14ac:dyDescent="0.25">
      <c r="A934" s="9" t="s">
        <v>39</v>
      </c>
      <c r="B934" s="9" t="s">
        <v>31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P934" s="9">
        <v>0</v>
      </c>
      <c r="Q934" s="9">
        <v>0</v>
      </c>
      <c r="R934" s="9">
        <v>0</v>
      </c>
      <c r="S934" s="9">
        <v>0</v>
      </c>
      <c r="T934" s="9">
        <v>0</v>
      </c>
      <c r="U934" s="9">
        <v>0</v>
      </c>
      <c r="V934" s="9">
        <v>0</v>
      </c>
      <c r="W934" s="9">
        <v>0</v>
      </c>
      <c r="X934" s="9">
        <v>0</v>
      </c>
      <c r="Y934" s="9">
        <v>0</v>
      </c>
      <c r="Z934" s="9">
        <v>100</v>
      </c>
      <c r="AA934" s="9">
        <v>0</v>
      </c>
    </row>
    <row r="935" spans="1:27" x14ac:dyDescent="0.25">
      <c r="A935" s="9" t="s">
        <v>39</v>
      </c>
      <c r="B935" s="9" t="s">
        <v>31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  <c r="O935" s="9">
        <v>0</v>
      </c>
      <c r="P935" s="9">
        <v>0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12</v>
      </c>
      <c r="Y935" s="9">
        <v>0</v>
      </c>
      <c r="Z935" s="9">
        <v>76</v>
      </c>
      <c r="AA935" s="9">
        <v>12</v>
      </c>
    </row>
    <row r="936" spans="1:27" x14ac:dyDescent="0.25">
      <c r="A936" s="9" t="s">
        <v>39</v>
      </c>
      <c r="B936" s="9" t="s">
        <v>31</v>
      </c>
      <c r="D936" s="9">
        <v>0</v>
      </c>
      <c r="E936" s="9">
        <v>0</v>
      </c>
      <c r="F936" s="9">
        <v>0</v>
      </c>
      <c r="G936" s="9">
        <v>52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9">
        <v>0</v>
      </c>
      <c r="Q936" s="9">
        <v>0</v>
      </c>
      <c r="R936" s="9">
        <v>0</v>
      </c>
      <c r="S936" s="9">
        <v>0</v>
      </c>
      <c r="T936" s="9">
        <v>0</v>
      </c>
      <c r="U936" s="9">
        <v>0</v>
      </c>
      <c r="V936" s="9">
        <v>0</v>
      </c>
      <c r="W936" s="9">
        <v>0</v>
      </c>
      <c r="X936" s="9">
        <v>4</v>
      </c>
      <c r="Y936" s="9">
        <v>4</v>
      </c>
      <c r="Z936" s="9">
        <v>40</v>
      </c>
      <c r="AA936" s="9">
        <v>0</v>
      </c>
    </row>
    <row r="937" spans="1:27" s="10" customFormat="1" x14ac:dyDescent="0.25">
      <c r="A937" s="10" t="s">
        <v>39</v>
      </c>
      <c r="B937" s="10" t="s">
        <v>31</v>
      </c>
      <c r="C937" s="10" t="s">
        <v>84</v>
      </c>
      <c r="D937" s="10">
        <v>0</v>
      </c>
      <c r="E937" s="10">
        <v>0</v>
      </c>
      <c r="F937" s="10">
        <v>0</v>
      </c>
      <c r="G937" s="10">
        <v>36.266666666666701</v>
      </c>
      <c r="H937" s="10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0.266666666666667</v>
      </c>
      <c r="O937" s="10">
        <v>5.3333333333333304</v>
      </c>
      <c r="P937" s="10">
        <v>0</v>
      </c>
      <c r="Q937" s="10">
        <v>0</v>
      </c>
      <c r="R937" s="10">
        <v>0.266666666666667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1.3333333333333299</v>
      </c>
      <c r="Y937" s="10">
        <v>0.266666666666667</v>
      </c>
      <c r="Z937" s="10">
        <v>54.6666666666667</v>
      </c>
      <c r="AA937" s="10">
        <v>1.6</v>
      </c>
    </row>
    <row r="938" spans="1:27" s="10" customFormat="1" x14ac:dyDescent="0.25">
      <c r="A938" s="10" t="s">
        <v>39</v>
      </c>
      <c r="B938" s="10" t="s">
        <v>31</v>
      </c>
      <c r="C938" s="10" t="s">
        <v>83</v>
      </c>
      <c r="D938" s="10">
        <v>0</v>
      </c>
      <c r="E938" s="10">
        <v>0</v>
      </c>
      <c r="F938" s="10">
        <v>0</v>
      </c>
      <c r="G938" s="10">
        <v>41.028677543303601</v>
      </c>
      <c r="H938" s="10">
        <v>0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  <c r="N938" s="10">
        <v>1.03279555898864</v>
      </c>
      <c r="O938" s="10">
        <v>17.479239386306499</v>
      </c>
      <c r="P938" s="10">
        <v>0</v>
      </c>
      <c r="Q938" s="10">
        <v>0</v>
      </c>
      <c r="R938" s="10">
        <v>1.03279555898864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3.2659863237109001</v>
      </c>
      <c r="Y938" s="10">
        <v>1.03279555898864</v>
      </c>
      <c r="Z938" s="10">
        <v>41.173269183271003</v>
      </c>
      <c r="AA938" s="10">
        <v>3.6410359593311998</v>
      </c>
    </row>
    <row r="939" spans="1:27" s="10" customFormat="1" x14ac:dyDescent="0.25">
      <c r="A939" s="10" t="s">
        <v>39</v>
      </c>
      <c r="B939" s="10" t="s">
        <v>31</v>
      </c>
      <c r="C939" s="10" t="s">
        <v>82</v>
      </c>
      <c r="D939" s="10">
        <v>0</v>
      </c>
      <c r="E939" s="10">
        <v>0</v>
      </c>
      <c r="F939" s="10">
        <v>0</v>
      </c>
      <c r="G939" s="10">
        <v>28</v>
      </c>
      <c r="H939" s="10">
        <v>0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68</v>
      </c>
      <c r="AA939" s="10">
        <v>0</v>
      </c>
    </row>
    <row r="940" spans="1:27" s="10" customFormat="1" x14ac:dyDescent="0.25">
      <c r="A940" s="10" t="s">
        <v>39</v>
      </c>
      <c r="B940" s="10" t="s">
        <v>31</v>
      </c>
      <c r="C940" s="10" t="s">
        <v>81</v>
      </c>
      <c r="D940" s="10">
        <v>0</v>
      </c>
      <c r="E940" s="10">
        <v>0</v>
      </c>
      <c r="F940" s="10">
        <v>0</v>
      </c>
      <c r="G940" s="10">
        <v>0</v>
      </c>
      <c r="H940" s="10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10</v>
      </c>
      <c r="AA940" s="10">
        <v>0</v>
      </c>
    </row>
    <row r="941" spans="1:27" s="10" customFormat="1" x14ac:dyDescent="0.25">
      <c r="A941" s="10" t="s">
        <v>39</v>
      </c>
      <c r="B941" s="10" t="s">
        <v>31</v>
      </c>
      <c r="C941" s="10" t="s">
        <v>80</v>
      </c>
      <c r="D941" s="10">
        <v>0</v>
      </c>
      <c r="E941" s="10">
        <v>0</v>
      </c>
      <c r="F941" s="10">
        <v>0</v>
      </c>
      <c r="G941" s="10">
        <v>74</v>
      </c>
      <c r="H941" s="10">
        <v>0</v>
      </c>
      <c r="I941" s="10">
        <v>0</v>
      </c>
      <c r="J941" s="10">
        <v>0</v>
      </c>
      <c r="K941" s="10"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94</v>
      </c>
      <c r="AA941" s="10">
        <v>0</v>
      </c>
    </row>
    <row r="942" spans="1:27" x14ac:dyDescent="0.25">
      <c r="A942" s="9" t="s">
        <v>39</v>
      </c>
      <c r="B942" s="9" t="s">
        <v>32</v>
      </c>
      <c r="D942" s="9">
        <v>0</v>
      </c>
      <c r="E942" s="9">
        <v>0</v>
      </c>
      <c r="F942" s="9">
        <v>0</v>
      </c>
      <c r="G942" s="9">
        <v>52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8</v>
      </c>
      <c r="O942" s="9">
        <v>40</v>
      </c>
      <c r="P942" s="9">
        <v>0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0</v>
      </c>
      <c r="Y942" s="9">
        <v>0</v>
      </c>
      <c r="Z942" s="9">
        <v>0</v>
      </c>
      <c r="AA942" s="9">
        <v>0</v>
      </c>
    </row>
    <row r="943" spans="1:27" x14ac:dyDescent="0.25">
      <c r="A943" s="9" t="s">
        <v>39</v>
      </c>
      <c r="B943" s="9" t="s">
        <v>32</v>
      </c>
      <c r="D943" s="9">
        <v>0</v>
      </c>
      <c r="E943" s="9">
        <v>0</v>
      </c>
      <c r="F943" s="9">
        <v>0</v>
      </c>
      <c r="G943" s="9">
        <v>92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0</v>
      </c>
      <c r="Z943" s="9">
        <v>8</v>
      </c>
      <c r="AA943" s="9">
        <v>0</v>
      </c>
    </row>
    <row r="944" spans="1:27" x14ac:dyDescent="0.25">
      <c r="A944" s="9" t="s">
        <v>39</v>
      </c>
      <c r="B944" s="9" t="s">
        <v>32</v>
      </c>
      <c r="D944" s="9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4</v>
      </c>
      <c r="L944" s="9">
        <v>0</v>
      </c>
      <c r="M944" s="9">
        <v>0</v>
      </c>
      <c r="N944" s="9">
        <v>8</v>
      </c>
      <c r="O944" s="9">
        <v>4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  <c r="W944" s="9">
        <v>0</v>
      </c>
      <c r="X944" s="9">
        <v>0</v>
      </c>
      <c r="Y944" s="9">
        <v>4</v>
      </c>
      <c r="Z944" s="9">
        <v>76</v>
      </c>
      <c r="AA944" s="9">
        <v>4</v>
      </c>
    </row>
    <row r="945" spans="1:27" x14ac:dyDescent="0.25">
      <c r="A945" s="9" t="s">
        <v>39</v>
      </c>
      <c r="B945" s="9" t="s">
        <v>32</v>
      </c>
      <c r="D945" s="9">
        <v>0</v>
      </c>
      <c r="E945" s="9">
        <v>0</v>
      </c>
      <c r="F945" s="9">
        <v>0</v>
      </c>
      <c r="G945" s="9">
        <v>76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  <c r="R945" s="9">
        <v>4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9">
        <v>0</v>
      </c>
      <c r="Y945" s="9">
        <v>0</v>
      </c>
      <c r="Z945" s="9">
        <v>20</v>
      </c>
      <c r="AA945" s="9">
        <v>0</v>
      </c>
    </row>
    <row r="946" spans="1:27" x14ac:dyDescent="0.25">
      <c r="A946" s="9" t="s">
        <v>39</v>
      </c>
      <c r="B946" s="9" t="s">
        <v>32</v>
      </c>
      <c r="D946" s="9">
        <v>0</v>
      </c>
      <c r="E946" s="9">
        <v>0</v>
      </c>
      <c r="F946" s="9">
        <v>8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4</v>
      </c>
      <c r="P946" s="9">
        <v>0</v>
      </c>
      <c r="Q946" s="9">
        <v>0</v>
      </c>
      <c r="R946" s="9">
        <v>0</v>
      </c>
      <c r="S946" s="9">
        <v>0</v>
      </c>
      <c r="T946" s="9">
        <v>0</v>
      </c>
      <c r="U946" s="9">
        <v>0</v>
      </c>
      <c r="V946" s="9">
        <v>0</v>
      </c>
      <c r="W946" s="9">
        <v>0</v>
      </c>
      <c r="X946" s="9">
        <v>4</v>
      </c>
      <c r="Y946" s="9">
        <v>0</v>
      </c>
      <c r="Z946" s="9">
        <v>68</v>
      </c>
      <c r="AA946" s="9">
        <v>16</v>
      </c>
    </row>
    <row r="947" spans="1:27" x14ac:dyDescent="0.25">
      <c r="A947" s="9" t="s">
        <v>39</v>
      </c>
      <c r="B947" s="9" t="s">
        <v>32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  <c r="O947" s="9">
        <v>0</v>
      </c>
      <c r="P947" s="9">
        <v>0</v>
      </c>
      <c r="Q947" s="9">
        <v>0</v>
      </c>
      <c r="R947" s="9">
        <v>8</v>
      </c>
      <c r="S947" s="9">
        <v>0</v>
      </c>
      <c r="T947" s="9">
        <v>0</v>
      </c>
      <c r="U947" s="9">
        <v>0</v>
      </c>
      <c r="V947" s="9">
        <v>0</v>
      </c>
      <c r="W947" s="9">
        <v>0</v>
      </c>
      <c r="X947" s="9">
        <v>4</v>
      </c>
      <c r="Y947" s="9">
        <v>0</v>
      </c>
      <c r="Z947" s="9">
        <v>84</v>
      </c>
      <c r="AA947" s="9">
        <v>4</v>
      </c>
    </row>
    <row r="948" spans="1:27" x14ac:dyDescent="0.25">
      <c r="A948" s="9" t="s">
        <v>39</v>
      </c>
      <c r="B948" s="9" t="s">
        <v>32</v>
      </c>
      <c r="D948" s="9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P948" s="9">
        <v>0</v>
      </c>
      <c r="Q948" s="9">
        <v>0</v>
      </c>
      <c r="R948" s="9">
        <v>4</v>
      </c>
      <c r="S948" s="9">
        <v>0</v>
      </c>
      <c r="T948" s="9">
        <v>0</v>
      </c>
      <c r="U948" s="9">
        <v>0</v>
      </c>
      <c r="V948" s="9">
        <v>0</v>
      </c>
      <c r="W948" s="9">
        <v>0</v>
      </c>
      <c r="X948" s="9">
        <v>0</v>
      </c>
      <c r="Y948" s="9">
        <v>0</v>
      </c>
      <c r="Z948" s="9">
        <v>96</v>
      </c>
      <c r="AA948" s="9">
        <v>0</v>
      </c>
    </row>
    <row r="949" spans="1:27" x14ac:dyDescent="0.25">
      <c r="A949" s="9" t="s">
        <v>39</v>
      </c>
      <c r="B949" s="9" t="s">
        <v>32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0</v>
      </c>
      <c r="R949" s="9">
        <v>4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0</v>
      </c>
      <c r="Z949" s="9">
        <v>92</v>
      </c>
      <c r="AA949" s="9">
        <v>4</v>
      </c>
    </row>
    <row r="950" spans="1:27" x14ac:dyDescent="0.25">
      <c r="A950" s="9" t="s">
        <v>39</v>
      </c>
      <c r="B950" s="9" t="s">
        <v>32</v>
      </c>
      <c r="D950" s="9">
        <v>0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  <c r="O950" s="9">
        <v>0</v>
      </c>
      <c r="P950" s="9">
        <v>0</v>
      </c>
      <c r="Q950" s="9">
        <v>0</v>
      </c>
      <c r="R950" s="9">
        <v>4</v>
      </c>
      <c r="S950" s="9">
        <v>0</v>
      </c>
      <c r="T950" s="9">
        <v>0</v>
      </c>
      <c r="U950" s="9">
        <v>0</v>
      </c>
      <c r="V950" s="9">
        <v>0</v>
      </c>
      <c r="W950" s="9">
        <v>0</v>
      </c>
      <c r="X950" s="9">
        <v>0</v>
      </c>
      <c r="Y950" s="9">
        <v>0</v>
      </c>
      <c r="Z950" s="9">
        <v>84</v>
      </c>
      <c r="AA950" s="9">
        <v>12</v>
      </c>
    </row>
    <row r="951" spans="1:27" x14ac:dyDescent="0.25">
      <c r="A951" s="9" t="s">
        <v>39</v>
      </c>
      <c r="B951" s="9" t="s">
        <v>32</v>
      </c>
      <c r="D951" s="9">
        <v>0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9">
        <v>4</v>
      </c>
      <c r="Y951" s="9">
        <v>0</v>
      </c>
      <c r="Z951" s="9">
        <v>88</v>
      </c>
      <c r="AA951" s="9">
        <v>8</v>
      </c>
    </row>
    <row r="952" spans="1:27" x14ac:dyDescent="0.25">
      <c r="A952" s="9" t="s">
        <v>39</v>
      </c>
      <c r="B952" s="9" t="s">
        <v>32</v>
      </c>
      <c r="D952" s="9">
        <v>0</v>
      </c>
      <c r="E952" s="9">
        <v>0</v>
      </c>
      <c r="F952" s="9">
        <v>0</v>
      </c>
      <c r="G952" s="9">
        <v>16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4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9">
        <v>8</v>
      </c>
      <c r="Y952" s="9">
        <v>0</v>
      </c>
      <c r="Z952" s="9">
        <v>72</v>
      </c>
      <c r="AA952" s="9">
        <v>0</v>
      </c>
    </row>
    <row r="953" spans="1:27" x14ac:dyDescent="0.25">
      <c r="A953" s="9" t="s">
        <v>39</v>
      </c>
      <c r="B953" s="9" t="s">
        <v>32</v>
      </c>
      <c r="D953" s="9">
        <v>0</v>
      </c>
      <c r="E953" s="9">
        <v>0</v>
      </c>
      <c r="F953" s="9">
        <v>0</v>
      </c>
      <c r="G953" s="9">
        <v>4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0</v>
      </c>
      <c r="O953" s="9">
        <v>0</v>
      </c>
      <c r="P953" s="9">
        <v>0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  <c r="W953" s="9">
        <v>0</v>
      </c>
      <c r="X953" s="9">
        <v>0</v>
      </c>
      <c r="Y953" s="9">
        <v>0</v>
      </c>
      <c r="Z953" s="9">
        <v>96</v>
      </c>
      <c r="AA953" s="9">
        <v>0</v>
      </c>
    </row>
    <row r="954" spans="1:27" x14ac:dyDescent="0.25">
      <c r="A954" s="9" t="s">
        <v>39</v>
      </c>
      <c r="B954" s="9" t="s">
        <v>32</v>
      </c>
      <c r="D954" s="9">
        <v>0</v>
      </c>
      <c r="E954" s="9">
        <v>0</v>
      </c>
      <c r="F954" s="9">
        <v>0</v>
      </c>
      <c r="G954" s="9">
        <v>84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9">
        <v>0</v>
      </c>
      <c r="Y954" s="9">
        <v>0</v>
      </c>
      <c r="Z954" s="9">
        <v>16</v>
      </c>
      <c r="AA954" s="9">
        <v>0</v>
      </c>
    </row>
    <row r="955" spans="1:27" x14ac:dyDescent="0.25">
      <c r="A955" s="9" t="s">
        <v>39</v>
      </c>
      <c r="B955" s="9" t="s">
        <v>32</v>
      </c>
      <c r="D955" s="9">
        <v>0</v>
      </c>
      <c r="E955" s="9">
        <v>0</v>
      </c>
      <c r="F955" s="9">
        <v>0</v>
      </c>
      <c r="G955" s="9">
        <v>76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9">
        <v>0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24</v>
      </c>
      <c r="AA955" s="9">
        <v>0</v>
      </c>
    </row>
    <row r="956" spans="1:27" x14ac:dyDescent="0.25">
      <c r="A956" s="9" t="s">
        <v>39</v>
      </c>
      <c r="B956" s="9" t="s">
        <v>32</v>
      </c>
      <c r="D956" s="9">
        <v>0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96</v>
      </c>
      <c r="AA956" s="9">
        <v>4</v>
      </c>
    </row>
    <row r="957" spans="1:27" s="10" customFormat="1" x14ac:dyDescent="0.25">
      <c r="A957" s="10" t="s">
        <v>39</v>
      </c>
      <c r="B957" s="10" t="s">
        <v>32</v>
      </c>
      <c r="C957" s="10" t="s">
        <v>84</v>
      </c>
      <c r="D957" s="10">
        <v>0</v>
      </c>
      <c r="E957" s="10">
        <v>0</v>
      </c>
      <c r="F957" s="10">
        <v>0.53333333333333299</v>
      </c>
      <c r="G957" s="10">
        <v>26.6666666666667</v>
      </c>
      <c r="H957" s="10">
        <v>0</v>
      </c>
      <c r="I957" s="10">
        <v>0</v>
      </c>
      <c r="J957" s="10">
        <v>0</v>
      </c>
      <c r="K957" s="10">
        <v>0.266666666666667</v>
      </c>
      <c r="L957" s="10">
        <v>0</v>
      </c>
      <c r="M957" s="10">
        <v>0</v>
      </c>
      <c r="N957" s="10">
        <v>1.3333333333333299</v>
      </c>
      <c r="O957" s="10">
        <v>3.2</v>
      </c>
      <c r="P957" s="10">
        <v>0</v>
      </c>
      <c r="Q957" s="10">
        <v>0</v>
      </c>
      <c r="R957" s="10">
        <v>1.6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1.3333333333333299</v>
      </c>
      <c r="Y957" s="10">
        <v>0.266666666666667</v>
      </c>
      <c r="Z957" s="10">
        <v>61.3333333333333</v>
      </c>
      <c r="AA957" s="10">
        <v>3.4666666666666699</v>
      </c>
    </row>
    <row r="958" spans="1:27" s="10" customFormat="1" x14ac:dyDescent="0.25">
      <c r="A958" s="10" t="s">
        <v>39</v>
      </c>
      <c r="B958" s="10" t="s">
        <v>32</v>
      </c>
      <c r="C958" s="10" t="s">
        <v>83</v>
      </c>
      <c r="D958" s="10">
        <v>0</v>
      </c>
      <c r="E958" s="10">
        <v>0</v>
      </c>
      <c r="F958" s="10">
        <v>2.0655911179772901</v>
      </c>
      <c r="G958" s="10">
        <v>37.207270154916699</v>
      </c>
      <c r="H958" s="10">
        <v>0</v>
      </c>
      <c r="I958" s="10">
        <v>0</v>
      </c>
      <c r="J958" s="10">
        <v>0</v>
      </c>
      <c r="K958" s="10">
        <v>1.03279555898864</v>
      </c>
      <c r="L958" s="10">
        <v>0</v>
      </c>
      <c r="M958" s="10">
        <v>0</v>
      </c>
      <c r="N958" s="10">
        <v>2.8949874578229799</v>
      </c>
      <c r="O958" s="10">
        <v>10.2761860629321</v>
      </c>
      <c r="P958" s="10">
        <v>0</v>
      </c>
      <c r="Q958" s="10">
        <v>0</v>
      </c>
      <c r="R958" s="10">
        <v>2.5298221281347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2.4688535993934702</v>
      </c>
      <c r="Y958" s="10">
        <v>1.03279555898864</v>
      </c>
      <c r="Z958" s="10">
        <v>36.2740888763526</v>
      </c>
      <c r="AA958" s="10">
        <v>4.9837832254317798</v>
      </c>
    </row>
    <row r="959" spans="1:27" s="10" customFormat="1" x14ac:dyDescent="0.25">
      <c r="A959" s="10" t="s">
        <v>39</v>
      </c>
      <c r="B959" s="10" t="s">
        <v>32</v>
      </c>
      <c r="C959" s="10" t="s">
        <v>82</v>
      </c>
      <c r="D959" s="10">
        <v>0</v>
      </c>
      <c r="E959" s="10">
        <v>0</v>
      </c>
      <c r="F959" s="10">
        <v>0</v>
      </c>
      <c r="G959" s="10">
        <v>0</v>
      </c>
      <c r="H959" s="10">
        <v>0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76</v>
      </c>
      <c r="AA959" s="10">
        <v>0</v>
      </c>
    </row>
    <row r="960" spans="1:27" s="10" customFormat="1" x14ac:dyDescent="0.25">
      <c r="A960" s="10" t="s">
        <v>39</v>
      </c>
      <c r="B960" s="10" t="s">
        <v>32</v>
      </c>
      <c r="C960" s="10" t="s">
        <v>81</v>
      </c>
      <c r="D960" s="10">
        <v>0</v>
      </c>
      <c r="E960" s="10">
        <v>0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22</v>
      </c>
      <c r="AA960" s="10">
        <v>0</v>
      </c>
    </row>
    <row r="961" spans="1:27" s="10" customFormat="1" x14ac:dyDescent="0.25">
      <c r="A961" s="10" t="s">
        <v>39</v>
      </c>
      <c r="B961" s="10" t="s">
        <v>32</v>
      </c>
      <c r="C961" s="10" t="s">
        <v>80</v>
      </c>
      <c r="D961" s="10">
        <v>0</v>
      </c>
      <c r="E961" s="10">
        <v>0</v>
      </c>
      <c r="F961" s="10">
        <v>0</v>
      </c>
      <c r="G961" s="10">
        <v>64</v>
      </c>
      <c r="H961" s="10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4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2</v>
      </c>
      <c r="Y961" s="10">
        <v>0</v>
      </c>
      <c r="Z961" s="10">
        <v>90</v>
      </c>
      <c r="AA961" s="10">
        <v>4</v>
      </c>
    </row>
    <row r="962" spans="1:27" x14ac:dyDescent="0.25">
      <c r="A962" s="9" t="s">
        <v>40</v>
      </c>
      <c r="B962" s="9" t="s">
        <v>27</v>
      </c>
      <c r="D962" s="9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9">
        <v>0</v>
      </c>
      <c r="O962" s="9">
        <v>12</v>
      </c>
      <c r="P962" s="9">
        <v>0</v>
      </c>
      <c r="Q962" s="9">
        <v>0</v>
      </c>
      <c r="R962" s="9">
        <v>8</v>
      </c>
      <c r="S962" s="9">
        <v>0</v>
      </c>
      <c r="T962" s="9">
        <v>0</v>
      </c>
      <c r="U962" s="9">
        <v>20</v>
      </c>
      <c r="V962" s="9">
        <v>0</v>
      </c>
      <c r="W962" s="9">
        <v>0</v>
      </c>
      <c r="X962" s="9">
        <v>8</v>
      </c>
      <c r="Y962" s="9">
        <v>0</v>
      </c>
      <c r="Z962" s="9">
        <v>48</v>
      </c>
      <c r="AA962" s="9">
        <v>4</v>
      </c>
    </row>
    <row r="963" spans="1:27" x14ac:dyDescent="0.25">
      <c r="A963" s="9" t="s">
        <v>40</v>
      </c>
      <c r="B963" s="9" t="s">
        <v>27</v>
      </c>
      <c r="D963" s="9">
        <v>0</v>
      </c>
      <c r="E963" s="9">
        <v>0</v>
      </c>
      <c r="F963" s="9">
        <v>0</v>
      </c>
      <c r="G963" s="9">
        <v>0</v>
      </c>
      <c r="H963" s="9">
        <v>12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  <c r="R963" s="9">
        <v>4</v>
      </c>
      <c r="S963" s="9">
        <v>0</v>
      </c>
      <c r="T963" s="9">
        <v>4</v>
      </c>
      <c r="U963" s="9">
        <v>16</v>
      </c>
      <c r="V963" s="9">
        <v>0</v>
      </c>
      <c r="W963" s="9">
        <v>0</v>
      </c>
      <c r="X963" s="9">
        <v>0</v>
      </c>
      <c r="Y963" s="9">
        <v>0</v>
      </c>
      <c r="Z963" s="9">
        <v>60</v>
      </c>
      <c r="AA963" s="9">
        <v>4</v>
      </c>
    </row>
    <row r="964" spans="1:27" x14ac:dyDescent="0.25">
      <c r="A964" s="9" t="s">
        <v>40</v>
      </c>
      <c r="B964" s="9" t="s">
        <v>27</v>
      </c>
      <c r="D964" s="9">
        <v>0</v>
      </c>
      <c r="E964" s="9">
        <v>0</v>
      </c>
      <c r="F964" s="9">
        <v>0</v>
      </c>
      <c r="G964" s="9">
        <v>0</v>
      </c>
      <c r="H964" s="9">
        <v>8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  <c r="R964" s="9">
        <v>4</v>
      </c>
      <c r="S964" s="9">
        <v>0</v>
      </c>
      <c r="T964" s="9">
        <v>8</v>
      </c>
      <c r="U964" s="9">
        <v>16</v>
      </c>
      <c r="V964" s="9">
        <v>0</v>
      </c>
      <c r="W964" s="9">
        <v>0</v>
      </c>
      <c r="X964" s="9">
        <v>0</v>
      </c>
      <c r="Y964" s="9">
        <v>0</v>
      </c>
      <c r="Z964" s="9">
        <v>52</v>
      </c>
      <c r="AA964" s="9">
        <v>12</v>
      </c>
    </row>
    <row r="965" spans="1:27" x14ac:dyDescent="0.25">
      <c r="A965" s="9" t="s">
        <v>40</v>
      </c>
      <c r="B965" s="9" t="s">
        <v>27</v>
      </c>
      <c r="D965" s="9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24</v>
      </c>
      <c r="O965" s="9">
        <v>4</v>
      </c>
      <c r="P965" s="9">
        <v>0</v>
      </c>
      <c r="Q965" s="9">
        <v>4</v>
      </c>
      <c r="R965" s="9">
        <v>8</v>
      </c>
      <c r="S965" s="9">
        <v>0</v>
      </c>
      <c r="T965" s="9">
        <v>0</v>
      </c>
      <c r="U965" s="9">
        <v>8</v>
      </c>
      <c r="V965" s="9">
        <v>0</v>
      </c>
      <c r="W965" s="9">
        <v>0</v>
      </c>
      <c r="X965" s="9">
        <v>0</v>
      </c>
      <c r="Y965" s="9">
        <v>0</v>
      </c>
      <c r="Z965" s="9">
        <v>52</v>
      </c>
      <c r="AA965" s="9">
        <v>0</v>
      </c>
    </row>
    <row r="966" spans="1:27" x14ac:dyDescent="0.25">
      <c r="A966" s="9" t="s">
        <v>40</v>
      </c>
      <c r="B966" s="9" t="s">
        <v>27</v>
      </c>
      <c r="D966" s="9">
        <v>0</v>
      </c>
      <c r="E966" s="9">
        <v>0</v>
      </c>
      <c r="F966" s="9">
        <v>0</v>
      </c>
      <c r="G966" s="9">
        <v>0</v>
      </c>
      <c r="H966" s="9">
        <v>4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12</v>
      </c>
      <c r="O966" s="9">
        <v>0</v>
      </c>
      <c r="P966" s="9">
        <v>0</v>
      </c>
      <c r="Q966" s="9">
        <v>0</v>
      </c>
      <c r="R966" s="9">
        <v>0</v>
      </c>
      <c r="S966" s="9">
        <v>0</v>
      </c>
      <c r="T966" s="9">
        <v>8</v>
      </c>
      <c r="U966" s="9">
        <v>4</v>
      </c>
      <c r="V966" s="9">
        <v>0</v>
      </c>
      <c r="W966" s="9">
        <v>0</v>
      </c>
      <c r="X966" s="9">
        <v>4</v>
      </c>
      <c r="Y966" s="9">
        <v>0</v>
      </c>
      <c r="Z966" s="9">
        <v>64</v>
      </c>
      <c r="AA966" s="9">
        <v>4</v>
      </c>
    </row>
    <row r="967" spans="1:27" x14ac:dyDescent="0.25">
      <c r="A967" s="9" t="s">
        <v>40</v>
      </c>
      <c r="B967" s="9" t="s">
        <v>27</v>
      </c>
      <c r="D967" s="9">
        <v>0</v>
      </c>
      <c r="E967" s="9">
        <v>0</v>
      </c>
      <c r="F967" s="9">
        <v>4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8</v>
      </c>
      <c r="V967" s="9">
        <v>0</v>
      </c>
      <c r="W967" s="9">
        <v>0</v>
      </c>
      <c r="X967" s="9">
        <v>8</v>
      </c>
      <c r="Y967" s="9">
        <v>0</v>
      </c>
      <c r="Z967" s="9">
        <v>76</v>
      </c>
      <c r="AA967" s="9">
        <v>4</v>
      </c>
    </row>
    <row r="968" spans="1:27" x14ac:dyDescent="0.25">
      <c r="A968" s="9" t="s">
        <v>40</v>
      </c>
      <c r="B968" s="9" t="s">
        <v>27</v>
      </c>
      <c r="D968" s="9">
        <v>0</v>
      </c>
      <c r="E968" s="9">
        <v>0</v>
      </c>
      <c r="F968" s="9">
        <v>20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4</v>
      </c>
      <c r="S968" s="9">
        <v>0</v>
      </c>
      <c r="T968" s="9">
        <v>16</v>
      </c>
      <c r="U968" s="9">
        <v>12</v>
      </c>
      <c r="V968" s="9">
        <v>0</v>
      </c>
      <c r="W968" s="9">
        <v>0</v>
      </c>
      <c r="X968" s="9">
        <v>0</v>
      </c>
      <c r="Y968" s="9">
        <v>4</v>
      </c>
      <c r="Z968" s="9">
        <v>40</v>
      </c>
      <c r="AA968" s="9">
        <v>4</v>
      </c>
    </row>
    <row r="969" spans="1:27" x14ac:dyDescent="0.25">
      <c r="A969" s="9" t="s">
        <v>40</v>
      </c>
      <c r="B969" s="9" t="s">
        <v>27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4</v>
      </c>
      <c r="O969" s="9">
        <v>8</v>
      </c>
      <c r="P969" s="9">
        <v>0</v>
      </c>
      <c r="Q969" s="9">
        <v>0</v>
      </c>
      <c r="R969" s="9">
        <v>0</v>
      </c>
      <c r="S969" s="9">
        <v>0</v>
      </c>
      <c r="T969" s="9">
        <v>4</v>
      </c>
      <c r="U969" s="9">
        <v>16</v>
      </c>
      <c r="V969" s="9">
        <v>0</v>
      </c>
      <c r="W969" s="9">
        <v>0</v>
      </c>
      <c r="X969" s="9">
        <v>0</v>
      </c>
      <c r="Y969" s="9">
        <v>0</v>
      </c>
      <c r="Z969" s="9">
        <v>68</v>
      </c>
      <c r="AA969" s="9">
        <v>0</v>
      </c>
    </row>
    <row r="970" spans="1:27" x14ac:dyDescent="0.25">
      <c r="A970" s="9" t="s">
        <v>40</v>
      </c>
      <c r="B970" s="9" t="s">
        <v>27</v>
      </c>
      <c r="D970" s="9">
        <v>0</v>
      </c>
      <c r="E970" s="9">
        <v>0</v>
      </c>
      <c r="F970" s="9">
        <v>12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>
        <v>88</v>
      </c>
      <c r="AA970" s="9">
        <v>0</v>
      </c>
    </row>
    <row r="971" spans="1:27" x14ac:dyDescent="0.25">
      <c r="A971" s="9" t="s">
        <v>40</v>
      </c>
      <c r="B971" s="9" t="s">
        <v>27</v>
      </c>
      <c r="D971" s="9">
        <v>0</v>
      </c>
      <c r="E971" s="9">
        <v>0</v>
      </c>
      <c r="F971" s="9">
        <v>12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24</v>
      </c>
      <c r="V971" s="9">
        <v>0</v>
      </c>
      <c r="W971" s="9">
        <v>0</v>
      </c>
      <c r="X971" s="9">
        <v>0</v>
      </c>
      <c r="Y971" s="9">
        <v>0</v>
      </c>
      <c r="Z971" s="9">
        <v>64</v>
      </c>
      <c r="AA971" s="9">
        <v>0</v>
      </c>
    </row>
    <row r="972" spans="1:27" x14ac:dyDescent="0.25">
      <c r="A972" s="9" t="s">
        <v>40</v>
      </c>
      <c r="B972" s="9" t="s">
        <v>27</v>
      </c>
      <c r="D972" s="9">
        <v>0</v>
      </c>
      <c r="E972" s="9">
        <v>0</v>
      </c>
      <c r="F972" s="9">
        <v>4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  <c r="O972" s="9">
        <v>0</v>
      </c>
      <c r="P972" s="9">
        <v>0</v>
      </c>
      <c r="Q972" s="9">
        <v>0</v>
      </c>
      <c r="R972" s="9">
        <v>0</v>
      </c>
      <c r="S972" s="9">
        <v>0</v>
      </c>
      <c r="T972" s="9">
        <v>8</v>
      </c>
      <c r="U972" s="9">
        <v>4</v>
      </c>
      <c r="V972" s="9">
        <v>0</v>
      </c>
      <c r="W972" s="9">
        <v>0</v>
      </c>
      <c r="X972" s="9">
        <v>4</v>
      </c>
      <c r="Y972" s="9">
        <v>0</v>
      </c>
      <c r="Z972" s="9">
        <v>80</v>
      </c>
      <c r="AA972" s="9">
        <v>0</v>
      </c>
    </row>
    <row r="973" spans="1:27" x14ac:dyDescent="0.25">
      <c r="A973" s="9" t="s">
        <v>40</v>
      </c>
      <c r="B973" s="9" t="s">
        <v>27</v>
      </c>
      <c r="D973" s="9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  <c r="O973" s="9">
        <v>0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8</v>
      </c>
      <c r="V973" s="9">
        <v>0</v>
      </c>
      <c r="W973" s="9">
        <v>0</v>
      </c>
      <c r="X973" s="9">
        <v>0</v>
      </c>
      <c r="Y973" s="9">
        <v>0</v>
      </c>
      <c r="Z973" s="9">
        <v>92</v>
      </c>
      <c r="AA973" s="9">
        <v>0</v>
      </c>
    </row>
    <row r="974" spans="1:27" x14ac:dyDescent="0.25">
      <c r="A974" s="9" t="s">
        <v>40</v>
      </c>
      <c r="B974" s="9" t="s">
        <v>27</v>
      </c>
      <c r="D974" s="9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4</v>
      </c>
      <c r="S974" s="9">
        <v>0</v>
      </c>
      <c r="T974" s="9">
        <v>0</v>
      </c>
      <c r="U974" s="9">
        <v>32</v>
      </c>
      <c r="V974" s="9">
        <v>0</v>
      </c>
      <c r="W974" s="9">
        <v>0</v>
      </c>
      <c r="X974" s="9">
        <v>4</v>
      </c>
      <c r="Y974" s="9">
        <v>0</v>
      </c>
      <c r="Z974" s="9">
        <v>56</v>
      </c>
      <c r="AA974" s="9">
        <v>4</v>
      </c>
    </row>
    <row r="975" spans="1:27" x14ac:dyDescent="0.25">
      <c r="A975" s="9" t="s">
        <v>40</v>
      </c>
      <c r="B975" s="9" t="s">
        <v>27</v>
      </c>
      <c r="D975" s="9">
        <v>0</v>
      </c>
      <c r="E975" s="9">
        <v>0</v>
      </c>
      <c r="F975" s="9">
        <v>0</v>
      </c>
      <c r="G975" s="9">
        <v>0</v>
      </c>
      <c r="H975" s="9">
        <v>28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P975" s="9">
        <v>0</v>
      </c>
      <c r="Q975" s="9">
        <v>0</v>
      </c>
      <c r="R975" s="9">
        <v>4</v>
      </c>
      <c r="S975" s="9">
        <v>0</v>
      </c>
      <c r="T975" s="9">
        <v>0</v>
      </c>
      <c r="U975" s="9">
        <v>32</v>
      </c>
      <c r="V975" s="9">
        <v>0</v>
      </c>
      <c r="W975" s="9">
        <v>0</v>
      </c>
      <c r="X975" s="9">
        <v>0</v>
      </c>
      <c r="Y975" s="9">
        <v>0</v>
      </c>
      <c r="Z975" s="9">
        <v>36</v>
      </c>
      <c r="AA975" s="9">
        <v>0</v>
      </c>
    </row>
    <row r="976" spans="1:27" x14ac:dyDescent="0.25">
      <c r="A976" s="9" t="s">
        <v>40</v>
      </c>
      <c r="B976" s="9" t="s">
        <v>27</v>
      </c>
      <c r="D976" s="9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  <c r="O976" s="9">
        <v>0</v>
      </c>
      <c r="P976" s="9">
        <v>0</v>
      </c>
      <c r="Q976" s="9">
        <v>0</v>
      </c>
      <c r="R976" s="9">
        <v>0</v>
      </c>
      <c r="S976" s="9">
        <v>0</v>
      </c>
      <c r="T976" s="9">
        <v>0</v>
      </c>
      <c r="U976" s="9">
        <v>16</v>
      </c>
      <c r="V976" s="9">
        <v>0</v>
      </c>
      <c r="W976" s="9">
        <v>0</v>
      </c>
      <c r="X976" s="9">
        <v>0</v>
      </c>
      <c r="Y976" s="9">
        <v>0</v>
      </c>
      <c r="Z976" s="9">
        <v>80</v>
      </c>
      <c r="AA976" s="9">
        <v>4</v>
      </c>
    </row>
    <row r="977" spans="1:27" s="10" customFormat="1" x14ac:dyDescent="0.25">
      <c r="A977" s="10" t="s">
        <v>40</v>
      </c>
      <c r="B977" s="10" t="s">
        <v>27</v>
      </c>
      <c r="C977" s="10" t="s">
        <v>84</v>
      </c>
      <c r="D977" s="10">
        <v>0</v>
      </c>
      <c r="E977" s="10">
        <v>0</v>
      </c>
      <c r="F977" s="10">
        <v>3.4666666666666699</v>
      </c>
      <c r="G977" s="10">
        <v>0</v>
      </c>
      <c r="H977" s="10">
        <v>3.4666666666666699</v>
      </c>
      <c r="I977" s="10">
        <v>0</v>
      </c>
      <c r="J977" s="10">
        <v>0</v>
      </c>
      <c r="K977" s="10">
        <v>0</v>
      </c>
      <c r="L977" s="10">
        <v>0</v>
      </c>
      <c r="M977" s="10">
        <v>0</v>
      </c>
      <c r="N977" s="10">
        <v>2.6666666666666701</v>
      </c>
      <c r="O977" s="10">
        <v>1.6</v>
      </c>
      <c r="P977" s="10">
        <v>0</v>
      </c>
      <c r="Q977" s="10">
        <v>0.266666666666667</v>
      </c>
      <c r="R977" s="10">
        <v>2.4</v>
      </c>
      <c r="S977" s="10">
        <v>0</v>
      </c>
      <c r="T977" s="10">
        <v>3.2</v>
      </c>
      <c r="U977" s="10">
        <v>14.4</v>
      </c>
      <c r="V977" s="10">
        <v>0</v>
      </c>
      <c r="W977" s="10">
        <v>0</v>
      </c>
      <c r="X977" s="10">
        <v>1.86666666666667</v>
      </c>
      <c r="Y977" s="10">
        <v>0.266666666666667</v>
      </c>
      <c r="Z977" s="10">
        <v>63.733333333333299</v>
      </c>
      <c r="AA977" s="10">
        <v>2.6666666666666701</v>
      </c>
    </row>
    <row r="978" spans="1:27" s="10" customFormat="1" x14ac:dyDescent="0.25">
      <c r="A978" s="10" t="s">
        <v>40</v>
      </c>
      <c r="B978" s="10" t="s">
        <v>27</v>
      </c>
      <c r="C978" s="10" t="s">
        <v>83</v>
      </c>
      <c r="D978" s="10">
        <v>0</v>
      </c>
      <c r="E978" s="10">
        <v>0</v>
      </c>
      <c r="F978" s="10">
        <v>6.20905636569527</v>
      </c>
      <c r="G978" s="10">
        <v>0</v>
      </c>
      <c r="H978" s="10">
        <v>7.6892008377860401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6.7046536787802102</v>
      </c>
      <c r="O978" s="10">
        <v>3.6410359593311998</v>
      </c>
      <c r="P978" s="10">
        <v>0</v>
      </c>
      <c r="Q978" s="10">
        <v>1.03279555898864</v>
      </c>
      <c r="R978" s="10">
        <v>2.9471535904520301</v>
      </c>
      <c r="S978" s="10">
        <v>0</v>
      </c>
      <c r="T978" s="10">
        <v>4.8284868969777399</v>
      </c>
      <c r="U978" s="10">
        <v>9.6569737939554798</v>
      </c>
      <c r="V978" s="10">
        <v>0</v>
      </c>
      <c r="W978" s="10">
        <v>0</v>
      </c>
      <c r="X978" s="10">
        <v>2.9728934118288302</v>
      </c>
      <c r="Y978" s="10">
        <v>1.03279555898864</v>
      </c>
      <c r="Z978" s="10">
        <v>16.934608125993101</v>
      </c>
      <c r="AA978" s="10">
        <v>3.2659863237109001</v>
      </c>
    </row>
    <row r="979" spans="1:27" s="10" customFormat="1" x14ac:dyDescent="0.25">
      <c r="A979" s="10" t="s">
        <v>40</v>
      </c>
      <c r="B979" s="10" t="s">
        <v>27</v>
      </c>
      <c r="C979" s="10" t="s">
        <v>82</v>
      </c>
      <c r="D979" s="10">
        <v>0</v>
      </c>
      <c r="E979" s="10">
        <v>0</v>
      </c>
      <c r="F979" s="10">
        <v>0</v>
      </c>
      <c r="G979" s="10">
        <v>0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16</v>
      </c>
      <c r="V979" s="10">
        <v>0</v>
      </c>
      <c r="W979" s="10">
        <v>0</v>
      </c>
      <c r="X979" s="10">
        <v>0</v>
      </c>
      <c r="Y979" s="10">
        <v>0</v>
      </c>
      <c r="Z979" s="10">
        <v>64</v>
      </c>
      <c r="AA979" s="10">
        <v>4</v>
      </c>
    </row>
    <row r="980" spans="1:27" s="10" customFormat="1" x14ac:dyDescent="0.25">
      <c r="A980" s="10" t="s">
        <v>40</v>
      </c>
      <c r="B980" s="10" t="s">
        <v>27</v>
      </c>
      <c r="C980" s="10" t="s">
        <v>81</v>
      </c>
      <c r="D980" s="10">
        <v>0</v>
      </c>
      <c r="E980" s="10">
        <v>0</v>
      </c>
      <c r="F980" s="10">
        <v>0</v>
      </c>
      <c r="G980" s="10">
        <v>0</v>
      </c>
      <c r="H980" s="10">
        <v>0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8</v>
      </c>
      <c r="V980" s="10">
        <v>0</v>
      </c>
      <c r="W980" s="10">
        <v>0</v>
      </c>
      <c r="X980" s="10">
        <v>0</v>
      </c>
      <c r="Y980" s="10">
        <v>0</v>
      </c>
      <c r="Z980" s="10">
        <v>52</v>
      </c>
      <c r="AA980" s="10">
        <v>0</v>
      </c>
    </row>
    <row r="981" spans="1:27" s="10" customFormat="1" x14ac:dyDescent="0.25">
      <c r="A981" s="10" t="s">
        <v>40</v>
      </c>
      <c r="B981" s="10" t="s">
        <v>27</v>
      </c>
      <c r="C981" s="10" t="s">
        <v>80</v>
      </c>
      <c r="D981" s="10">
        <v>0</v>
      </c>
      <c r="E981" s="10">
        <v>0</v>
      </c>
      <c r="F981" s="10">
        <v>4</v>
      </c>
      <c r="G981" s="10">
        <v>0</v>
      </c>
      <c r="H981" s="10">
        <v>2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4</v>
      </c>
      <c r="S981" s="10">
        <v>0</v>
      </c>
      <c r="T981" s="10">
        <v>6</v>
      </c>
      <c r="U981" s="10">
        <v>18</v>
      </c>
      <c r="V981" s="10">
        <v>0</v>
      </c>
      <c r="W981" s="10">
        <v>0</v>
      </c>
      <c r="X981" s="10">
        <v>4</v>
      </c>
      <c r="Y981" s="10">
        <v>0</v>
      </c>
      <c r="Z981" s="10">
        <v>78</v>
      </c>
      <c r="AA981" s="10">
        <v>4</v>
      </c>
    </row>
    <row r="982" spans="1:27" x14ac:dyDescent="0.25">
      <c r="A982" s="9" t="s">
        <v>40</v>
      </c>
      <c r="B982" s="9" t="s">
        <v>28</v>
      </c>
      <c r="D982" s="9">
        <v>0</v>
      </c>
      <c r="E982" s="9">
        <v>0</v>
      </c>
      <c r="F982" s="9">
        <v>12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0</v>
      </c>
      <c r="R982" s="9">
        <v>0</v>
      </c>
      <c r="S982" s="9">
        <v>0</v>
      </c>
      <c r="T982" s="9">
        <v>0</v>
      </c>
      <c r="U982" s="9">
        <v>12</v>
      </c>
      <c r="V982" s="9">
        <v>0</v>
      </c>
      <c r="W982" s="9">
        <v>0</v>
      </c>
      <c r="X982" s="9">
        <v>0</v>
      </c>
      <c r="Y982" s="9">
        <v>0</v>
      </c>
      <c r="Z982" s="9">
        <v>72</v>
      </c>
      <c r="AA982" s="9">
        <v>4</v>
      </c>
    </row>
    <row r="983" spans="1:27" x14ac:dyDescent="0.25">
      <c r="A983" s="9" t="s">
        <v>40</v>
      </c>
      <c r="B983" s="9" t="s">
        <v>28</v>
      </c>
      <c r="D983" s="9">
        <v>20</v>
      </c>
      <c r="E983" s="9">
        <v>0</v>
      </c>
      <c r="F983" s="9">
        <v>4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9">
        <v>0</v>
      </c>
      <c r="P983" s="9">
        <v>0</v>
      </c>
      <c r="Q983" s="9">
        <v>0</v>
      </c>
      <c r="R983" s="9">
        <v>4</v>
      </c>
      <c r="S983" s="9">
        <v>0</v>
      </c>
      <c r="T983" s="9">
        <v>4</v>
      </c>
      <c r="U983" s="9">
        <v>8</v>
      </c>
      <c r="V983" s="9">
        <v>0</v>
      </c>
      <c r="W983" s="9">
        <v>0</v>
      </c>
      <c r="X983" s="9">
        <v>0</v>
      </c>
      <c r="Y983" s="9">
        <v>0</v>
      </c>
      <c r="Z983" s="9">
        <v>60</v>
      </c>
      <c r="AA983" s="9">
        <v>0</v>
      </c>
    </row>
    <row r="984" spans="1:27" x14ac:dyDescent="0.25">
      <c r="A984" s="9" t="s">
        <v>40</v>
      </c>
      <c r="B984" s="9" t="s">
        <v>28</v>
      </c>
      <c r="D984" s="9">
        <v>0</v>
      </c>
      <c r="E984" s="9">
        <v>0</v>
      </c>
      <c r="F984" s="9">
        <v>8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4</v>
      </c>
      <c r="O984" s="9">
        <v>0</v>
      </c>
      <c r="P984" s="9">
        <v>0</v>
      </c>
      <c r="Q984" s="9">
        <v>0</v>
      </c>
      <c r="R984" s="9">
        <v>0</v>
      </c>
      <c r="S984" s="9">
        <v>0</v>
      </c>
      <c r="T984" s="9">
        <v>4</v>
      </c>
      <c r="U984" s="9">
        <v>0</v>
      </c>
      <c r="V984" s="9">
        <v>0</v>
      </c>
      <c r="W984" s="9">
        <v>0</v>
      </c>
      <c r="X984" s="9">
        <v>4</v>
      </c>
      <c r="Y984" s="9">
        <v>0</v>
      </c>
      <c r="Z984" s="9">
        <v>80</v>
      </c>
      <c r="AA984" s="9">
        <v>0</v>
      </c>
    </row>
    <row r="985" spans="1:27" x14ac:dyDescent="0.25">
      <c r="A985" s="9" t="s">
        <v>40</v>
      </c>
      <c r="B985" s="9" t="s">
        <v>28</v>
      </c>
      <c r="D985" s="9">
        <v>0</v>
      </c>
      <c r="E985" s="9">
        <v>0</v>
      </c>
      <c r="F985" s="9">
        <v>12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  <c r="O985" s="9">
        <v>0</v>
      </c>
      <c r="P985" s="9">
        <v>0</v>
      </c>
      <c r="Q985" s="9">
        <v>0</v>
      </c>
      <c r="R985" s="9">
        <v>0</v>
      </c>
      <c r="S985" s="9">
        <v>0</v>
      </c>
      <c r="T985" s="9">
        <v>12</v>
      </c>
      <c r="U985" s="9">
        <v>28</v>
      </c>
      <c r="V985" s="9">
        <v>0</v>
      </c>
      <c r="W985" s="9">
        <v>0</v>
      </c>
      <c r="X985" s="9">
        <v>0</v>
      </c>
      <c r="Y985" s="9">
        <v>0</v>
      </c>
      <c r="Z985" s="9">
        <v>44</v>
      </c>
      <c r="AA985" s="9">
        <v>4</v>
      </c>
    </row>
    <row r="986" spans="1:27" x14ac:dyDescent="0.25">
      <c r="A986" s="9" t="s">
        <v>40</v>
      </c>
      <c r="B986" s="9" t="s">
        <v>28</v>
      </c>
      <c r="D986" s="9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  <c r="O986" s="9">
        <v>4</v>
      </c>
      <c r="P986" s="9">
        <v>0</v>
      </c>
      <c r="Q986" s="9">
        <v>0</v>
      </c>
      <c r="R986" s="9">
        <v>8</v>
      </c>
      <c r="S986" s="9">
        <v>0</v>
      </c>
      <c r="T986" s="9">
        <v>0</v>
      </c>
      <c r="U986" s="9">
        <v>12</v>
      </c>
      <c r="V986" s="9">
        <v>0</v>
      </c>
      <c r="W986" s="9">
        <v>0</v>
      </c>
      <c r="X986" s="9">
        <v>0</v>
      </c>
      <c r="Y986" s="9">
        <v>0</v>
      </c>
      <c r="Z986" s="9">
        <v>76</v>
      </c>
      <c r="AA986" s="9">
        <v>0</v>
      </c>
    </row>
    <row r="987" spans="1:27" x14ac:dyDescent="0.25">
      <c r="A987" s="9" t="s">
        <v>40</v>
      </c>
      <c r="B987" s="9" t="s">
        <v>28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  <c r="O987" s="9">
        <v>12</v>
      </c>
      <c r="P987" s="9">
        <v>0</v>
      </c>
      <c r="Q987" s="9">
        <v>0</v>
      </c>
      <c r="R987" s="9">
        <v>0</v>
      </c>
      <c r="S987" s="9">
        <v>0</v>
      </c>
      <c r="T987" s="9">
        <v>8</v>
      </c>
      <c r="U987" s="9">
        <v>0</v>
      </c>
      <c r="V987" s="9">
        <v>0</v>
      </c>
      <c r="W987" s="9">
        <v>0</v>
      </c>
      <c r="X987" s="9">
        <v>8</v>
      </c>
      <c r="Y987" s="9">
        <v>0</v>
      </c>
      <c r="Z987" s="9">
        <v>72</v>
      </c>
      <c r="AA987" s="9">
        <v>0</v>
      </c>
    </row>
    <row r="988" spans="1:27" x14ac:dyDescent="0.25">
      <c r="A988" s="9" t="s">
        <v>40</v>
      </c>
      <c r="B988" s="9" t="s">
        <v>28</v>
      </c>
      <c r="D988" s="9">
        <v>0</v>
      </c>
      <c r="E988" s="9">
        <v>0</v>
      </c>
      <c r="F988" s="9">
        <v>0</v>
      </c>
      <c r="G988" s="9">
        <v>0</v>
      </c>
      <c r="H988" s="9">
        <v>16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9">
        <v>0</v>
      </c>
      <c r="R988" s="9">
        <v>4</v>
      </c>
      <c r="S988" s="9">
        <v>0</v>
      </c>
      <c r="T988" s="9">
        <v>0</v>
      </c>
      <c r="U988" s="9">
        <v>32</v>
      </c>
      <c r="V988" s="9">
        <v>0</v>
      </c>
      <c r="W988" s="9">
        <v>0</v>
      </c>
      <c r="X988" s="9">
        <v>0</v>
      </c>
      <c r="Y988" s="9">
        <v>0</v>
      </c>
      <c r="Z988" s="9">
        <v>44</v>
      </c>
      <c r="AA988" s="9">
        <v>4</v>
      </c>
    </row>
    <row r="989" spans="1:27" x14ac:dyDescent="0.25">
      <c r="A989" s="9" t="s">
        <v>40</v>
      </c>
      <c r="B989" s="9" t="s">
        <v>28</v>
      </c>
      <c r="D989" s="9">
        <v>0</v>
      </c>
      <c r="E989" s="9">
        <v>0</v>
      </c>
      <c r="F989" s="9">
        <v>0</v>
      </c>
      <c r="G989" s="9">
        <v>36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0</v>
      </c>
      <c r="S989" s="9">
        <v>0</v>
      </c>
      <c r="T989" s="9">
        <v>4</v>
      </c>
      <c r="U989" s="9">
        <v>16</v>
      </c>
      <c r="V989" s="9">
        <v>0</v>
      </c>
      <c r="W989" s="9">
        <v>0</v>
      </c>
      <c r="X989" s="9">
        <v>0</v>
      </c>
      <c r="Y989" s="9">
        <v>0</v>
      </c>
      <c r="Z989" s="9">
        <v>44</v>
      </c>
      <c r="AA989" s="9">
        <v>0</v>
      </c>
    </row>
    <row r="990" spans="1:27" x14ac:dyDescent="0.25">
      <c r="A990" s="9" t="s">
        <v>40</v>
      </c>
      <c r="B990" s="9" t="s">
        <v>28</v>
      </c>
      <c r="D990" s="9">
        <v>0</v>
      </c>
      <c r="E990" s="9">
        <v>0</v>
      </c>
      <c r="F990" s="9">
        <v>0</v>
      </c>
      <c r="G990" s="9">
        <v>0</v>
      </c>
      <c r="H990" s="9">
        <v>4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9">
        <v>0</v>
      </c>
      <c r="R990" s="9">
        <v>0</v>
      </c>
      <c r="S990" s="9">
        <v>0</v>
      </c>
      <c r="T990" s="9">
        <v>12</v>
      </c>
      <c r="U990" s="9">
        <v>24</v>
      </c>
      <c r="V990" s="9">
        <v>0</v>
      </c>
      <c r="W990" s="9">
        <v>0</v>
      </c>
      <c r="X990" s="9">
        <v>4</v>
      </c>
      <c r="Y990" s="9">
        <v>0</v>
      </c>
      <c r="Z990" s="9">
        <v>52</v>
      </c>
      <c r="AA990" s="9">
        <v>4</v>
      </c>
    </row>
    <row r="991" spans="1:27" x14ac:dyDescent="0.25">
      <c r="A991" s="9" t="s">
        <v>40</v>
      </c>
      <c r="B991" s="9" t="s">
        <v>28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P991" s="9">
        <v>0</v>
      </c>
      <c r="Q991" s="9">
        <v>0</v>
      </c>
      <c r="R991" s="9">
        <v>4</v>
      </c>
      <c r="S991" s="9">
        <v>0</v>
      </c>
      <c r="T991" s="9">
        <v>0</v>
      </c>
      <c r="U991" s="9">
        <v>36</v>
      </c>
      <c r="V991" s="9">
        <v>0</v>
      </c>
      <c r="W991" s="9">
        <v>0</v>
      </c>
      <c r="X991" s="9">
        <v>0</v>
      </c>
      <c r="Y991" s="9">
        <v>0</v>
      </c>
      <c r="Z991" s="9">
        <v>60</v>
      </c>
      <c r="AA991" s="9">
        <v>0</v>
      </c>
    </row>
    <row r="992" spans="1:27" x14ac:dyDescent="0.25">
      <c r="A992" s="9" t="s">
        <v>40</v>
      </c>
      <c r="B992" s="9" t="s">
        <v>28</v>
      </c>
      <c r="D992" s="9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  <c r="O992" s="9">
        <v>4</v>
      </c>
      <c r="P992" s="9">
        <v>0</v>
      </c>
      <c r="Q992" s="9">
        <v>0</v>
      </c>
      <c r="R992" s="9">
        <v>0</v>
      </c>
      <c r="S992" s="9">
        <v>0</v>
      </c>
      <c r="T992" s="9">
        <v>0</v>
      </c>
      <c r="U992" s="9">
        <v>24</v>
      </c>
      <c r="V992" s="9">
        <v>0</v>
      </c>
      <c r="W992" s="9">
        <v>0</v>
      </c>
      <c r="X992" s="9">
        <v>4</v>
      </c>
      <c r="Y992" s="9">
        <v>4</v>
      </c>
      <c r="Z992" s="9">
        <v>64</v>
      </c>
      <c r="AA992" s="9">
        <v>0</v>
      </c>
    </row>
    <row r="993" spans="1:27" x14ac:dyDescent="0.25">
      <c r="A993" s="9" t="s">
        <v>40</v>
      </c>
      <c r="B993" s="9" t="s">
        <v>28</v>
      </c>
      <c r="D993" s="9">
        <v>0</v>
      </c>
      <c r="E993" s="9">
        <v>0</v>
      </c>
      <c r="F993" s="9">
        <v>12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9">
        <v>0</v>
      </c>
      <c r="R993" s="9">
        <v>0</v>
      </c>
      <c r="S993" s="9">
        <v>0</v>
      </c>
      <c r="T993" s="9">
        <v>4</v>
      </c>
      <c r="U993" s="9">
        <v>4</v>
      </c>
      <c r="V993" s="9">
        <v>0</v>
      </c>
      <c r="W993" s="9">
        <v>0</v>
      </c>
      <c r="X993" s="9">
        <v>0</v>
      </c>
      <c r="Y993" s="9">
        <v>0</v>
      </c>
      <c r="Z993" s="9">
        <v>80</v>
      </c>
      <c r="AA993" s="9">
        <v>0</v>
      </c>
    </row>
    <row r="994" spans="1:27" x14ac:dyDescent="0.25">
      <c r="A994" s="9" t="s">
        <v>40</v>
      </c>
      <c r="B994" s="9" t="s">
        <v>28</v>
      </c>
      <c r="D994" s="9">
        <v>0</v>
      </c>
      <c r="E994" s="9">
        <v>0</v>
      </c>
      <c r="F994" s="9">
        <v>0</v>
      </c>
      <c r="G994" s="9">
        <v>0</v>
      </c>
      <c r="H994" s="9">
        <v>8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  <c r="Q994" s="9">
        <v>0</v>
      </c>
      <c r="R994" s="9">
        <v>0</v>
      </c>
      <c r="S994" s="9">
        <v>0</v>
      </c>
      <c r="T994" s="9">
        <v>4</v>
      </c>
      <c r="U994" s="9">
        <v>20</v>
      </c>
      <c r="V994" s="9">
        <v>0</v>
      </c>
      <c r="W994" s="9">
        <v>0</v>
      </c>
      <c r="X994" s="9">
        <v>0</v>
      </c>
      <c r="Y994" s="9">
        <v>0</v>
      </c>
      <c r="Z994" s="9">
        <v>68</v>
      </c>
      <c r="AA994" s="9">
        <v>0</v>
      </c>
    </row>
    <row r="995" spans="1:27" x14ac:dyDescent="0.25">
      <c r="A995" s="9" t="s">
        <v>40</v>
      </c>
      <c r="B995" s="9" t="s">
        <v>28</v>
      </c>
      <c r="D995" s="9">
        <v>0</v>
      </c>
      <c r="E995" s="9">
        <v>0</v>
      </c>
      <c r="F995" s="9">
        <v>12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  <c r="O995" s="9">
        <v>0</v>
      </c>
      <c r="P995" s="9">
        <v>0</v>
      </c>
      <c r="Q995" s="9">
        <v>0</v>
      </c>
      <c r="R995" s="9">
        <v>0</v>
      </c>
      <c r="S995" s="9">
        <v>0</v>
      </c>
      <c r="T995" s="9">
        <v>8</v>
      </c>
      <c r="U995" s="9">
        <v>8</v>
      </c>
      <c r="V995" s="9">
        <v>0</v>
      </c>
      <c r="W995" s="9">
        <v>0</v>
      </c>
      <c r="X995" s="9">
        <v>0</v>
      </c>
      <c r="Y995" s="9">
        <v>0</v>
      </c>
      <c r="Z995" s="9">
        <v>72</v>
      </c>
      <c r="AA995" s="9">
        <v>0</v>
      </c>
    </row>
    <row r="996" spans="1:27" x14ac:dyDescent="0.25">
      <c r="A996" s="9" t="s">
        <v>40</v>
      </c>
      <c r="B996" s="9" t="s">
        <v>28</v>
      </c>
      <c r="D996" s="9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4</v>
      </c>
      <c r="O996" s="9">
        <v>0</v>
      </c>
      <c r="P996" s="9">
        <v>0</v>
      </c>
      <c r="Q996" s="9">
        <v>0</v>
      </c>
      <c r="R996" s="9">
        <v>0</v>
      </c>
      <c r="S996" s="9">
        <v>0</v>
      </c>
      <c r="T996" s="9">
        <v>0</v>
      </c>
      <c r="U996" s="9">
        <v>4</v>
      </c>
      <c r="V996" s="9">
        <v>0</v>
      </c>
      <c r="W996" s="9">
        <v>0</v>
      </c>
      <c r="X996" s="9">
        <v>12</v>
      </c>
      <c r="Y996" s="9">
        <v>0</v>
      </c>
      <c r="Z996" s="9">
        <v>76</v>
      </c>
      <c r="AA996" s="9">
        <v>4</v>
      </c>
    </row>
    <row r="997" spans="1:27" s="10" customFormat="1" x14ac:dyDescent="0.25">
      <c r="A997" s="10" t="s">
        <v>40</v>
      </c>
      <c r="B997" s="10" t="s">
        <v>28</v>
      </c>
      <c r="C997" s="10" t="s">
        <v>84</v>
      </c>
      <c r="D997" s="10">
        <v>1.3333333333333299</v>
      </c>
      <c r="E997" s="10">
        <v>0</v>
      </c>
      <c r="F997" s="10">
        <v>4</v>
      </c>
      <c r="G997" s="10">
        <v>2.4</v>
      </c>
      <c r="H997" s="10">
        <v>1.86666666666667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0.53333333333333299</v>
      </c>
      <c r="O997" s="10">
        <v>1.3333333333333299</v>
      </c>
      <c r="P997" s="10">
        <v>0</v>
      </c>
      <c r="Q997" s="10">
        <v>0</v>
      </c>
      <c r="R997" s="10">
        <v>1.3333333333333299</v>
      </c>
      <c r="S997" s="10">
        <v>0</v>
      </c>
      <c r="T997" s="10">
        <v>4</v>
      </c>
      <c r="U997" s="10">
        <v>15.2</v>
      </c>
      <c r="V997" s="10">
        <v>0</v>
      </c>
      <c r="W997" s="10">
        <v>0</v>
      </c>
      <c r="X997" s="10">
        <v>2.1333333333333302</v>
      </c>
      <c r="Y997" s="10">
        <v>0.266666666666667</v>
      </c>
      <c r="Z997" s="10">
        <v>64.266666666666694</v>
      </c>
      <c r="AA997" s="10">
        <v>1.3333333333333299</v>
      </c>
    </row>
    <row r="998" spans="1:27" s="10" customFormat="1" x14ac:dyDescent="0.25">
      <c r="A998" s="10" t="s">
        <v>40</v>
      </c>
      <c r="B998" s="10" t="s">
        <v>28</v>
      </c>
      <c r="C998" s="10" t="s">
        <v>83</v>
      </c>
      <c r="D998" s="10">
        <v>5.1639777949432197</v>
      </c>
      <c r="E998" s="10">
        <v>0</v>
      </c>
      <c r="F998" s="10">
        <v>5.4510811509539696</v>
      </c>
      <c r="G998" s="10">
        <v>9.2951600308978009</v>
      </c>
      <c r="H998" s="10">
        <v>4.5018514709691004</v>
      </c>
      <c r="I998" s="10">
        <v>0</v>
      </c>
      <c r="J998" s="10">
        <v>0</v>
      </c>
      <c r="K998" s="10">
        <v>0</v>
      </c>
      <c r="L998" s="10">
        <v>0</v>
      </c>
      <c r="M998" s="10">
        <v>0</v>
      </c>
      <c r="N998" s="10">
        <v>1.4074631010979901</v>
      </c>
      <c r="O998" s="10">
        <v>3.2659863237109001</v>
      </c>
      <c r="P998" s="10">
        <v>0</v>
      </c>
      <c r="Q998" s="10">
        <v>0</v>
      </c>
      <c r="R998" s="10">
        <v>2.4688535993934702</v>
      </c>
      <c r="S998" s="10">
        <v>0</v>
      </c>
      <c r="T998" s="10">
        <v>4.2761798705987903</v>
      </c>
      <c r="U998" s="10">
        <v>11.6324668799995</v>
      </c>
      <c r="V998" s="10">
        <v>0</v>
      </c>
      <c r="W998" s="10">
        <v>0</v>
      </c>
      <c r="X998" s="10">
        <v>3.6619016657365102</v>
      </c>
      <c r="Y998" s="10">
        <v>1.03279555898864</v>
      </c>
      <c r="Z998" s="10">
        <v>13.0464372075109</v>
      </c>
      <c r="AA998" s="10">
        <v>1.95180014589707</v>
      </c>
    </row>
    <row r="999" spans="1:27" s="10" customFormat="1" x14ac:dyDescent="0.25">
      <c r="A999" s="10" t="s">
        <v>40</v>
      </c>
      <c r="B999" s="10" t="s">
        <v>28</v>
      </c>
      <c r="C999" s="10" t="s">
        <v>82</v>
      </c>
      <c r="D999" s="10">
        <v>0</v>
      </c>
      <c r="E999" s="10">
        <v>0</v>
      </c>
      <c r="F999" s="10">
        <v>0</v>
      </c>
      <c r="G999" s="10">
        <v>0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4</v>
      </c>
      <c r="U999" s="10">
        <v>12</v>
      </c>
      <c r="V999" s="10">
        <v>0</v>
      </c>
      <c r="W999" s="10">
        <v>0</v>
      </c>
      <c r="X999" s="10">
        <v>0</v>
      </c>
      <c r="Y999" s="10">
        <v>0</v>
      </c>
      <c r="Z999" s="10">
        <v>68</v>
      </c>
      <c r="AA999" s="10">
        <v>0</v>
      </c>
    </row>
    <row r="1000" spans="1:27" s="10" customFormat="1" x14ac:dyDescent="0.25">
      <c r="A1000" s="10" t="s">
        <v>40</v>
      </c>
      <c r="B1000" s="10" t="s">
        <v>28</v>
      </c>
      <c r="C1000" s="10" t="s">
        <v>81</v>
      </c>
      <c r="D1000" s="10">
        <v>0</v>
      </c>
      <c r="E1000" s="10">
        <v>0</v>
      </c>
      <c r="F1000" s="10">
        <v>0</v>
      </c>
      <c r="G1000" s="10">
        <v>0</v>
      </c>
      <c r="H1000" s="10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6</v>
      </c>
      <c r="V1000" s="10">
        <v>0</v>
      </c>
      <c r="W1000" s="10">
        <v>0</v>
      </c>
      <c r="X1000" s="10">
        <v>0</v>
      </c>
      <c r="Y1000" s="10">
        <v>0</v>
      </c>
      <c r="Z1000" s="10">
        <v>56</v>
      </c>
      <c r="AA1000" s="10">
        <v>0</v>
      </c>
    </row>
    <row r="1001" spans="1:27" s="10" customFormat="1" x14ac:dyDescent="0.25">
      <c r="A1001" s="10" t="s">
        <v>40</v>
      </c>
      <c r="B1001" s="10" t="s">
        <v>28</v>
      </c>
      <c r="C1001" s="10" t="s">
        <v>80</v>
      </c>
      <c r="D1001" s="10">
        <v>0</v>
      </c>
      <c r="E1001" s="10">
        <v>0</v>
      </c>
      <c r="F1001" s="10">
        <v>10</v>
      </c>
      <c r="G1001" s="10">
        <v>0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2</v>
      </c>
      <c r="S1001" s="10">
        <v>0</v>
      </c>
      <c r="T1001" s="10">
        <v>6</v>
      </c>
      <c r="U1001" s="10">
        <v>24</v>
      </c>
      <c r="V1001" s="10">
        <v>0</v>
      </c>
      <c r="W1001" s="10">
        <v>0</v>
      </c>
      <c r="X1001" s="10">
        <v>4</v>
      </c>
      <c r="Y1001" s="10">
        <v>0</v>
      </c>
      <c r="Z1001" s="10">
        <v>74</v>
      </c>
      <c r="AA1001" s="10">
        <v>4</v>
      </c>
    </row>
    <row r="1002" spans="1:27" x14ac:dyDescent="0.25">
      <c r="A1002" s="9" t="s">
        <v>40</v>
      </c>
      <c r="B1002" s="9" t="s">
        <v>29</v>
      </c>
      <c r="D1002" s="9">
        <v>0</v>
      </c>
      <c r="E1002" s="9">
        <v>0</v>
      </c>
      <c r="F1002" s="9">
        <v>0</v>
      </c>
      <c r="G1002" s="9">
        <v>0</v>
      </c>
      <c r="H1002" s="9">
        <v>12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  <c r="O1002" s="9">
        <v>0</v>
      </c>
      <c r="P1002" s="9">
        <v>0</v>
      </c>
      <c r="Q1002" s="9">
        <v>0</v>
      </c>
      <c r="R1002" s="9">
        <v>0</v>
      </c>
      <c r="S1002" s="9">
        <v>0</v>
      </c>
      <c r="T1002" s="9">
        <v>4</v>
      </c>
      <c r="U1002" s="9">
        <v>56</v>
      </c>
      <c r="V1002" s="9">
        <v>0</v>
      </c>
      <c r="W1002" s="9">
        <v>0</v>
      </c>
      <c r="X1002" s="9">
        <v>0</v>
      </c>
      <c r="Y1002" s="9">
        <v>0</v>
      </c>
      <c r="Z1002" s="9">
        <v>24</v>
      </c>
      <c r="AA1002" s="9">
        <v>4</v>
      </c>
    </row>
    <row r="1003" spans="1:27" x14ac:dyDescent="0.25">
      <c r="A1003" s="9" t="s">
        <v>40</v>
      </c>
      <c r="B1003" s="9" t="s">
        <v>29</v>
      </c>
      <c r="D1003" s="9">
        <v>0</v>
      </c>
      <c r="E1003" s="9">
        <v>0</v>
      </c>
      <c r="F1003" s="9">
        <v>0</v>
      </c>
      <c r="G1003" s="9">
        <v>0</v>
      </c>
      <c r="H1003" s="9">
        <v>20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  <c r="O1003" s="9">
        <v>0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48</v>
      </c>
      <c r="V1003" s="9">
        <v>0</v>
      </c>
      <c r="W1003" s="9">
        <v>0</v>
      </c>
      <c r="X1003" s="9">
        <v>0</v>
      </c>
      <c r="Y1003" s="9">
        <v>0</v>
      </c>
      <c r="Z1003" s="9">
        <v>28</v>
      </c>
      <c r="AA1003" s="9">
        <v>4</v>
      </c>
    </row>
    <row r="1004" spans="1:27" x14ac:dyDescent="0.25">
      <c r="A1004" s="9" t="s">
        <v>40</v>
      </c>
      <c r="B1004" s="9" t="s">
        <v>29</v>
      </c>
      <c r="D1004" s="9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0</v>
      </c>
      <c r="N1004" s="9">
        <v>0</v>
      </c>
      <c r="O1004" s="9">
        <v>0</v>
      </c>
      <c r="P1004" s="9">
        <v>0</v>
      </c>
      <c r="Q1004" s="9">
        <v>0</v>
      </c>
      <c r="R1004" s="9">
        <v>4</v>
      </c>
      <c r="S1004" s="9">
        <v>0</v>
      </c>
      <c r="T1004" s="9">
        <v>0</v>
      </c>
      <c r="U1004" s="9">
        <v>28</v>
      </c>
      <c r="V1004" s="9">
        <v>0</v>
      </c>
      <c r="W1004" s="9">
        <v>0</v>
      </c>
      <c r="X1004" s="9">
        <v>4</v>
      </c>
      <c r="Y1004" s="9">
        <v>0</v>
      </c>
      <c r="Z1004" s="9">
        <v>64</v>
      </c>
      <c r="AA1004" s="9">
        <v>0</v>
      </c>
    </row>
    <row r="1005" spans="1:27" x14ac:dyDescent="0.25">
      <c r="A1005" s="9" t="s">
        <v>40</v>
      </c>
      <c r="B1005" s="9" t="s">
        <v>29</v>
      </c>
      <c r="D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4</v>
      </c>
      <c r="U1005" s="9">
        <v>68</v>
      </c>
      <c r="V1005" s="9">
        <v>0</v>
      </c>
      <c r="W1005" s="9">
        <v>0</v>
      </c>
      <c r="X1005" s="9">
        <v>4</v>
      </c>
      <c r="Y1005" s="9">
        <v>4</v>
      </c>
      <c r="Z1005" s="9">
        <v>12</v>
      </c>
      <c r="AA1005" s="9">
        <v>8</v>
      </c>
    </row>
    <row r="1006" spans="1:27" x14ac:dyDescent="0.25">
      <c r="A1006" s="9" t="s">
        <v>40</v>
      </c>
      <c r="B1006" s="9" t="s">
        <v>29</v>
      </c>
      <c r="D1006" s="9">
        <v>0</v>
      </c>
      <c r="E1006" s="9">
        <v>0</v>
      </c>
      <c r="F1006" s="9">
        <v>0</v>
      </c>
      <c r="G1006" s="9">
        <v>0</v>
      </c>
      <c r="H1006" s="9">
        <v>8</v>
      </c>
      <c r="I1006" s="9">
        <v>0</v>
      </c>
      <c r="J1006" s="9">
        <v>0</v>
      </c>
      <c r="K1006" s="9">
        <v>0</v>
      </c>
      <c r="L1006" s="9">
        <v>0</v>
      </c>
      <c r="M1006" s="9">
        <v>0</v>
      </c>
      <c r="N1006" s="9">
        <v>0</v>
      </c>
      <c r="O1006" s="9">
        <v>0</v>
      </c>
      <c r="P1006" s="9">
        <v>0</v>
      </c>
      <c r="Q1006" s="9">
        <v>0</v>
      </c>
      <c r="R1006" s="9">
        <v>0</v>
      </c>
      <c r="S1006" s="9">
        <v>0</v>
      </c>
      <c r="T1006" s="9">
        <v>0</v>
      </c>
      <c r="U1006" s="9">
        <v>12</v>
      </c>
      <c r="V1006" s="9">
        <v>0</v>
      </c>
      <c r="W1006" s="9">
        <v>0</v>
      </c>
      <c r="X1006" s="9">
        <v>0</v>
      </c>
      <c r="Y1006" s="9">
        <v>0</v>
      </c>
      <c r="Z1006" s="9">
        <v>72</v>
      </c>
      <c r="AA1006" s="9">
        <v>8</v>
      </c>
    </row>
    <row r="1007" spans="1:27" x14ac:dyDescent="0.25">
      <c r="A1007" s="9" t="s">
        <v>40</v>
      </c>
      <c r="B1007" s="9" t="s">
        <v>29</v>
      </c>
      <c r="D1007" s="9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  <c r="O1007" s="9">
        <v>0</v>
      </c>
      <c r="P1007" s="9">
        <v>0</v>
      </c>
      <c r="Q1007" s="9">
        <v>0</v>
      </c>
      <c r="R1007" s="9">
        <v>4</v>
      </c>
      <c r="S1007" s="9">
        <v>0</v>
      </c>
      <c r="T1007" s="9">
        <v>0</v>
      </c>
      <c r="U1007" s="9">
        <v>4</v>
      </c>
      <c r="V1007" s="9">
        <v>0</v>
      </c>
      <c r="W1007" s="9">
        <v>0</v>
      </c>
      <c r="X1007" s="9">
        <v>0</v>
      </c>
      <c r="Y1007" s="9">
        <v>0</v>
      </c>
      <c r="Z1007" s="9">
        <v>92</v>
      </c>
      <c r="AA1007" s="9">
        <v>0</v>
      </c>
    </row>
    <row r="1008" spans="1:27" x14ac:dyDescent="0.25">
      <c r="A1008" s="9" t="s">
        <v>40</v>
      </c>
      <c r="B1008" s="9" t="s">
        <v>29</v>
      </c>
      <c r="D1008" s="9">
        <v>0</v>
      </c>
      <c r="E1008" s="9">
        <v>0</v>
      </c>
      <c r="F1008" s="9">
        <v>28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0</v>
      </c>
      <c r="O1008" s="9">
        <v>0</v>
      </c>
      <c r="P1008" s="9">
        <v>0</v>
      </c>
      <c r="Q1008" s="9">
        <v>0</v>
      </c>
      <c r="R1008" s="9">
        <v>0</v>
      </c>
      <c r="S1008" s="9">
        <v>0</v>
      </c>
      <c r="T1008" s="9">
        <v>0</v>
      </c>
      <c r="U1008" s="9">
        <v>4</v>
      </c>
      <c r="V1008" s="9">
        <v>0</v>
      </c>
      <c r="W1008" s="9">
        <v>0</v>
      </c>
      <c r="X1008" s="9">
        <v>4</v>
      </c>
      <c r="Y1008" s="9">
        <v>0</v>
      </c>
      <c r="Z1008" s="9">
        <v>60</v>
      </c>
      <c r="AA1008" s="9">
        <v>4</v>
      </c>
    </row>
    <row r="1009" spans="1:27" x14ac:dyDescent="0.25">
      <c r="A1009" s="9" t="s">
        <v>40</v>
      </c>
      <c r="B1009" s="9" t="s">
        <v>29</v>
      </c>
      <c r="D1009" s="9">
        <v>0</v>
      </c>
      <c r="E1009" s="9">
        <v>0</v>
      </c>
      <c r="F1009" s="9">
        <v>12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  <c r="O1009" s="9">
        <v>0</v>
      </c>
      <c r="P1009" s="9">
        <v>0</v>
      </c>
      <c r="Q1009" s="9">
        <v>0</v>
      </c>
      <c r="R1009" s="9">
        <v>0</v>
      </c>
      <c r="S1009" s="9">
        <v>0</v>
      </c>
      <c r="T1009" s="9">
        <v>12</v>
      </c>
      <c r="U1009" s="9">
        <v>0</v>
      </c>
      <c r="V1009" s="9">
        <v>0</v>
      </c>
      <c r="W1009" s="9">
        <v>0</v>
      </c>
      <c r="X1009" s="9">
        <v>0</v>
      </c>
      <c r="Y1009" s="9">
        <v>0</v>
      </c>
      <c r="Z1009" s="9">
        <v>76</v>
      </c>
      <c r="AA1009" s="9">
        <v>0</v>
      </c>
    </row>
    <row r="1010" spans="1:27" x14ac:dyDescent="0.25">
      <c r="A1010" s="9" t="s">
        <v>40</v>
      </c>
      <c r="B1010" s="9" t="s">
        <v>29</v>
      </c>
      <c r="D1010" s="9">
        <v>0</v>
      </c>
      <c r="E1010" s="9">
        <v>0</v>
      </c>
      <c r="F1010" s="9">
        <v>12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  <c r="O1010" s="9">
        <v>0</v>
      </c>
      <c r="P1010" s="9">
        <v>0</v>
      </c>
      <c r="Q1010" s="9">
        <v>0</v>
      </c>
      <c r="R1010" s="9">
        <v>0</v>
      </c>
      <c r="S1010" s="9">
        <v>0</v>
      </c>
      <c r="T1010" s="9">
        <v>4</v>
      </c>
      <c r="U1010" s="9">
        <v>8</v>
      </c>
      <c r="V1010" s="9">
        <v>0</v>
      </c>
      <c r="W1010" s="9">
        <v>0</v>
      </c>
      <c r="X1010" s="9">
        <v>0</v>
      </c>
      <c r="Y1010" s="9">
        <v>0</v>
      </c>
      <c r="Z1010" s="9">
        <v>72</v>
      </c>
      <c r="AA1010" s="9">
        <v>4</v>
      </c>
    </row>
    <row r="1011" spans="1:27" x14ac:dyDescent="0.25">
      <c r="A1011" s="9" t="s">
        <v>40</v>
      </c>
      <c r="B1011" s="9" t="s">
        <v>29</v>
      </c>
      <c r="D1011" s="9">
        <v>0</v>
      </c>
      <c r="E1011" s="9">
        <v>0</v>
      </c>
      <c r="F1011" s="9">
        <v>4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0</v>
      </c>
      <c r="Q1011" s="9">
        <v>0</v>
      </c>
      <c r="R1011" s="9">
        <v>0</v>
      </c>
      <c r="S1011" s="9">
        <v>0</v>
      </c>
      <c r="T1011" s="9">
        <v>0</v>
      </c>
      <c r="U1011" s="9">
        <v>8</v>
      </c>
      <c r="V1011" s="9">
        <v>0</v>
      </c>
      <c r="W1011" s="9">
        <v>0</v>
      </c>
      <c r="X1011" s="9">
        <v>0</v>
      </c>
      <c r="Y1011" s="9">
        <v>0</v>
      </c>
      <c r="Z1011" s="9">
        <v>88</v>
      </c>
      <c r="AA1011" s="9">
        <v>0</v>
      </c>
    </row>
    <row r="1012" spans="1:27" x14ac:dyDescent="0.25">
      <c r="A1012" s="9" t="s">
        <v>40</v>
      </c>
      <c r="B1012" s="9" t="s">
        <v>29</v>
      </c>
      <c r="D1012" s="9">
        <v>0</v>
      </c>
      <c r="E1012" s="9">
        <v>0</v>
      </c>
      <c r="F1012" s="9">
        <v>8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4</v>
      </c>
      <c r="O1012" s="9">
        <v>0</v>
      </c>
      <c r="P1012" s="9">
        <v>0</v>
      </c>
      <c r="Q1012" s="9">
        <v>0</v>
      </c>
      <c r="R1012" s="9">
        <v>4</v>
      </c>
      <c r="S1012" s="9">
        <v>0</v>
      </c>
      <c r="T1012" s="9">
        <v>4</v>
      </c>
      <c r="U1012" s="9">
        <v>12</v>
      </c>
      <c r="V1012" s="9">
        <v>0</v>
      </c>
      <c r="W1012" s="9">
        <v>0</v>
      </c>
      <c r="X1012" s="9">
        <v>0</v>
      </c>
      <c r="Y1012" s="9">
        <v>0</v>
      </c>
      <c r="Z1012" s="9">
        <v>68</v>
      </c>
      <c r="AA1012" s="9">
        <v>0</v>
      </c>
    </row>
    <row r="1013" spans="1:27" x14ac:dyDescent="0.25">
      <c r="A1013" s="9" t="s">
        <v>40</v>
      </c>
      <c r="B1013" s="9" t="s">
        <v>29</v>
      </c>
      <c r="D1013" s="9">
        <v>0</v>
      </c>
      <c r="E1013" s="9">
        <v>0</v>
      </c>
      <c r="F1013" s="9">
        <v>0</v>
      </c>
      <c r="G1013" s="9">
        <v>0</v>
      </c>
      <c r="H1013" s="9">
        <v>4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  <c r="O1013" s="9">
        <v>0</v>
      </c>
      <c r="P1013" s="9">
        <v>0</v>
      </c>
      <c r="Q1013" s="9">
        <v>0</v>
      </c>
      <c r="R1013" s="9">
        <v>0</v>
      </c>
      <c r="S1013" s="9">
        <v>0</v>
      </c>
      <c r="T1013" s="9">
        <v>4</v>
      </c>
      <c r="U1013" s="9">
        <v>24</v>
      </c>
      <c r="V1013" s="9">
        <v>0</v>
      </c>
      <c r="W1013" s="9">
        <v>0</v>
      </c>
      <c r="X1013" s="9">
        <v>0</v>
      </c>
      <c r="Y1013" s="9">
        <v>0</v>
      </c>
      <c r="Z1013" s="9">
        <v>56</v>
      </c>
      <c r="AA1013" s="9">
        <v>12</v>
      </c>
    </row>
    <row r="1014" spans="1:27" x14ac:dyDescent="0.25">
      <c r="A1014" s="9" t="s">
        <v>40</v>
      </c>
      <c r="B1014" s="9" t="s">
        <v>29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4</v>
      </c>
      <c r="O1014" s="9">
        <v>0</v>
      </c>
      <c r="P1014" s="9">
        <v>0</v>
      </c>
      <c r="Q1014" s="9">
        <v>0</v>
      </c>
      <c r="R1014" s="9">
        <v>0</v>
      </c>
      <c r="S1014" s="9">
        <v>0</v>
      </c>
      <c r="T1014" s="9">
        <v>4</v>
      </c>
      <c r="U1014" s="9">
        <v>20</v>
      </c>
      <c r="V1014" s="9">
        <v>0</v>
      </c>
      <c r="W1014" s="9">
        <v>0</v>
      </c>
      <c r="X1014" s="9">
        <v>0</v>
      </c>
      <c r="Y1014" s="9">
        <v>0</v>
      </c>
      <c r="Z1014" s="9">
        <v>64</v>
      </c>
      <c r="AA1014" s="9">
        <v>8</v>
      </c>
    </row>
    <row r="1015" spans="1:27" x14ac:dyDescent="0.25">
      <c r="A1015" s="9" t="s">
        <v>40</v>
      </c>
      <c r="B1015" s="9" t="s">
        <v>29</v>
      </c>
      <c r="D1015" s="9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  <c r="O1015" s="9">
        <v>0</v>
      </c>
      <c r="P1015" s="9">
        <v>0</v>
      </c>
      <c r="Q1015" s="9">
        <v>0</v>
      </c>
      <c r="R1015" s="9">
        <v>0</v>
      </c>
      <c r="S1015" s="9">
        <v>0</v>
      </c>
      <c r="T1015" s="9">
        <v>0</v>
      </c>
      <c r="U1015" s="9">
        <v>12</v>
      </c>
      <c r="V1015" s="9">
        <v>0</v>
      </c>
      <c r="W1015" s="9">
        <v>0</v>
      </c>
      <c r="X1015" s="9">
        <v>0</v>
      </c>
      <c r="Y1015" s="9">
        <v>0</v>
      </c>
      <c r="Z1015" s="9">
        <v>84</v>
      </c>
      <c r="AA1015" s="9">
        <v>4</v>
      </c>
    </row>
    <row r="1016" spans="1:27" x14ac:dyDescent="0.25">
      <c r="A1016" s="9" t="s">
        <v>40</v>
      </c>
      <c r="B1016" s="9" t="s">
        <v>29</v>
      </c>
      <c r="D1016" s="9">
        <v>0</v>
      </c>
      <c r="E1016" s="9">
        <v>0</v>
      </c>
      <c r="F1016" s="9">
        <v>4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  <c r="O1016" s="9">
        <v>0</v>
      </c>
      <c r="P1016" s="9">
        <v>0</v>
      </c>
      <c r="Q1016" s="9">
        <v>0</v>
      </c>
      <c r="R1016" s="9">
        <v>0</v>
      </c>
      <c r="S1016" s="9">
        <v>0</v>
      </c>
      <c r="T1016" s="9">
        <v>0</v>
      </c>
      <c r="U1016" s="9">
        <v>8</v>
      </c>
      <c r="V1016" s="9">
        <v>0</v>
      </c>
      <c r="W1016" s="9">
        <v>0</v>
      </c>
      <c r="X1016" s="9">
        <v>0</v>
      </c>
      <c r="Y1016" s="9">
        <v>0</v>
      </c>
      <c r="Z1016" s="9">
        <v>88</v>
      </c>
      <c r="AA1016" s="9">
        <v>0</v>
      </c>
    </row>
    <row r="1017" spans="1:27" s="10" customFormat="1" x14ac:dyDescent="0.25">
      <c r="A1017" s="10" t="s">
        <v>40</v>
      </c>
      <c r="B1017" s="10" t="s">
        <v>29</v>
      </c>
      <c r="C1017" s="10" t="s">
        <v>84</v>
      </c>
      <c r="D1017" s="10">
        <v>0</v>
      </c>
      <c r="E1017" s="10">
        <v>0</v>
      </c>
      <c r="F1017" s="10">
        <v>4.5333333333333297</v>
      </c>
      <c r="G1017" s="10">
        <v>0</v>
      </c>
      <c r="H1017" s="10">
        <v>2.93333333333333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0.53333333333333299</v>
      </c>
      <c r="O1017" s="10">
        <v>0</v>
      </c>
      <c r="P1017" s="10">
        <v>0</v>
      </c>
      <c r="Q1017" s="10">
        <v>0</v>
      </c>
      <c r="R1017" s="10">
        <v>0.8</v>
      </c>
      <c r="S1017" s="10">
        <v>0</v>
      </c>
      <c r="T1017" s="10">
        <v>2.4</v>
      </c>
      <c r="U1017" s="10">
        <v>20.8</v>
      </c>
      <c r="V1017" s="10">
        <v>0</v>
      </c>
      <c r="W1017" s="10">
        <v>0</v>
      </c>
      <c r="X1017" s="10">
        <v>0.8</v>
      </c>
      <c r="Y1017" s="10">
        <v>0.266666666666667</v>
      </c>
      <c r="Z1017" s="10">
        <v>63.2</v>
      </c>
      <c r="AA1017" s="10">
        <v>3.7333333333333298</v>
      </c>
    </row>
    <row r="1018" spans="1:27" s="10" customFormat="1" x14ac:dyDescent="0.25">
      <c r="A1018" s="10" t="s">
        <v>40</v>
      </c>
      <c r="B1018" s="10" t="s">
        <v>29</v>
      </c>
      <c r="C1018" s="10" t="s">
        <v>83</v>
      </c>
      <c r="D1018" s="10">
        <v>0</v>
      </c>
      <c r="E1018" s="10">
        <v>0</v>
      </c>
      <c r="F1018" s="10">
        <v>7.8364228962916398</v>
      </c>
      <c r="G1018" s="10">
        <v>0</v>
      </c>
      <c r="H1018" s="10">
        <v>5.9457868236576497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1.4074631010979901</v>
      </c>
      <c r="O1018" s="10">
        <v>0</v>
      </c>
      <c r="P1018" s="10">
        <v>0</v>
      </c>
      <c r="Q1018" s="10">
        <v>0</v>
      </c>
      <c r="R1018" s="10">
        <v>1.65615734242165</v>
      </c>
      <c r="S1018" s="10">
        <v>0</v>
      </c>
      <c r="T1018" s="10">
        <v>3.3123146848433</v>
      </c>
      <c r="U1018" s="10">
        <v>20.685398576912</v>
      </c>
      <c r="V1018" s="10">
        <v>0</v>
      </c>
      <c r="W1018" s="10">
        <v>0</v>
      </c>
      <c r="X1018" s="10">
        <v>1.65615734242165</v>
      </c>
      <c r="Y1018" s="10">
        <v>1.03279555898864</v>
      </c>
      <c r="Z1018" s="10">
        <v>24.3404425361813</v>
      </c>
      <c r="AA1018" s="10">
        <v>3.8446004188930201</v>
      </c>
    </row>
    <row r="1019" spans="1:27" s="10" customFormat="1" x14ac:dyDescent="0.25">
      <c r="A1019" s="10" t="s">
        <v>40</v>
      </c>
      <c r="B1019" s="10" t="s">
        <v>29</v>
      </c>
      <c r="C1019" s="10" t="s">
        <v>82</v>
      </c>
      <c r="D1019" s="10">
        <v>0</v>
      </c>
      <c r="E1019" s="10">
        <v>0</v>
      </c>
      <c r="F1019" s="10">
        <v>0</v>
      </c>
      <c r="G1019" s="10">
        <v>0</v>
      </c>
      <c r="H1019" s="10">
        <v>0</v>
      </c>
      <c r="I1019" s="10">
        <v>0</v>
      </c>
      <c r="J1019" s="10">
        <v>0</v>
      </c>
      <c r="K1019" s="10"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12</v>
      </c>
      <c r="V1019" s="10">
        <v>0</v>
      </c>
      <c r="W1019" s="10">
        <v>0</v>
      </c>
      <c r="X1019" s="10">
        <v>0</v>
      </c>
      <c r="Y1019" s="10">
        <v>0</v>
      </c>
      <c r="Z1019" s="10">
        <v>68</v>
      </c>
      <c r="AA1019" s="10">
        <v>4</v>
      </c>
    </row>
    <row r="1020" spans="1:27" s="10" customFormat="1" x14ac:dyDescent="0.25">
      <c r="A1020" s="10" t="s">
        <v>40</v>
      </c>
      <c r="B1020" s="10" t="s">
        <v>29</v>
      </c>
      <c r="C1020" s="10" t="s">
        <v>81</v>
      </c>
      <c r="D1020" s="10">
        <v>0</v>
      </c>
      <c r="E1020" s="10">
        <v>0</v>
      </c>
      <c r="F1020" s="10">
        <v>0</v>
      </c>
      <c r="G1020" s="10">
        <v>0</v>
      </c>
      <c r="H1020" s="10">
        <v>0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8</v>
      </c>
      <c r="V1020" s="10">
        <v>0</v>
      </c>
      <c r="W1020" s="10">
        <v>0</v>
      </c>
      <c r="X1020" s="10">
        <v>0</v>
      </c>
      <c r="Y1020" s="10">
        <v>0</v>
      </c>
      <c r="Z1020" s="10">
        <v>58</v>
      </c>
      <c r="AA1020" s="10">
        <v>0</v>
      </c>
    </row>
    <row r="1021" spans="1:27" s="10" customFormat="1" x14ac:dyDescent="0.25">
      <c r="A1021" s="10" t="s">
        <v>40</v>
      </c>
      <c r="B1021" s="10" t="s">
        <v>29</v>
      </c>
      <c r="C1021" s="10" t="s">
        <v>80</v>
      </c>
      <c r="D1021" s="10">
        <v>0</v>
      </c>
      <c r="E1021" s="10">
        <v>0</v>
      </c>
      <c r="F1021" s="10">
        <v>6</v>
      </c>
      <c r="G1021" s="10">
        <v>0</v>
      </c>
      <c r="H1021" s="10">
        <v>2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4</v>
      </c>
      <c r="U1021" s="10">
        <v>26</v>
      </c>
      <c r="V1021" s="10">
        <v>0</v>
      </c>
      <c r="W1021" s="10">
        <v>0</v>
      </c>
      <c r="X1021" s="10">
        <v>0</v>
      </c>
      <c r="Y1021" s="10">
        <v>0</v>
      </c>
      <c r="Z1021" s="10">
        <v>80</v>
      </c>
      <c r="AA1021" s="10">
        <v>6</v>
      </c>
    </row>
    <row r="1022" spans="1:27" x14ac:dyDescent="0.25">
      <c r="A1022" s="9" t="s">
        <v>40</v>
      </c>
      <c r="B1022" s="9" t="s">
        <v>30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9">
        <v>0</v>
      </c>
      <c r="O1022" s="9">
        <v>0</v>
      </c>
      <c r="P1022" s="9">
        <v>0</v>
      </c>
      <c r="Q1022" s="9">
        <v>0</v>
      </c>
      <c r="R1022" s="9">
        <v>0</v>
      </c>
      <c r="S1022" s="9">
        <v>0</v>
      </c>
      <c r="T1022" s="9">
        <v>4</v>
      </c>
      <c r="U1022" s="9">
        <v>0</v>
      </c>
      <c r="V1022" s="9">
        <v>0</v>
      </c>
      <c r="W1022" s="9">
        <v>0</v>
      </c>
      <c r="X1022" s="9">
        <v>0</v>
      </c>
      <c r="Y1022" s="9">
        <v>4</v>
      </c>
      <c r="Z1022" s="9">
        <v>88</v>
      </c>
      <c r="AA1022" s="9">
        <v>4</v>
      </c>
    </row>
    <row r="1023" spans="1:27" x14ac:dyDescent="0.25">
      <c r="A1023" s="9" t="s">
        <v>40</v>
      </c>
      <c r="B1023" s="9" t="s">
        <v>30</v>
      </c>
      <c r="D1023" s="9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  <c r="O1023" s="9">
        <v>0</v>
      </c>
      <c r="P1023" s="9">
        <v>0</v>
      </c>
      <c r="Q1023" s="9">
        <v>0</v>
      </c>
      <c r="R1023" s="9">
        <v>0</v>
      </c>
      <c r="S1023" s="9">
        <v>0</v>
      </c>
      <c r="T1023" s="9">
        <v>4</v>
      </c>
      <c r="U1023" s="9">
        <v>4</v>
      </c>
      <c r="V1023" s="9">
        <v>0</v>
      </c>
      <c r="W1023" s="9">
        <v>0</v>
      </c>
      <c r="X1023" s="9">
        <v>4</v>
      </c>
      <c r="Y1023" s="9">
        <v>0</v>
      </c>
      <c r="Z1023" s="9">
        <v>84</v>
      </c>
      <c r="AA1023" s="9">
        <v>4</v>
      </c>
    </row>
    <row r="1024" spans="1:27" x14ac:dyDescent="0.25">
      <c r="A1024" s="9" t="s">
        <v>40</v>
      </c>
      <c r="B1024" s="9" t="s">
        <v>30</v>
      </c>
      <c r="D1024" s="9">
        <v>0</v>
      </c>
      <c r="E1024" s="9">
        <v>0</v>
      </c>
      <c r="F1024" s="9">
        <v>28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P1024" s="9">
        <v>0</v>
      </c>
      <c r="Q1024" s="9">
        <v>0</v>
      </c>
      <c r="R1024" s="9">
        <v>4</v>
      </c>
      <c r="S1024" s="9">
        <v>0</v>
      </c>
      <c r="T1024" s="9">
        <v>0</v>
      </c>
      <c r="U1024" s="9">
        <v>8</v>
      </c>
      <c r="V1024" s="9">
        <v>0</v>
      </c>
      <c r="W1024" s="9">
        <v>0</v>
      </c>
      <c r="X1024" s="9">
        <v>0</v>
      </c>
      <c r="Y1024" s="9">
        <v>0</v>
      </c>
      <c r="Z1024" s="9">
        <v>60</v>
      </c>
      <c r="AA1024" s="9">
        <v>0</v>
      </c>
    </row>
    <row r="1025" spans="1:27" x14ac:dyDescent="0.25">
      <c r="A1025" s="9" t="s">
        <v>40</v>
      </c>
      <c r="B1025" s="9" t="s">
        <v>30</v>
      </c>
      <c r="D1025" s="9">
        <v>0</v>
      </c>
      <c r="E1025" s="9">
        <v>0</v>
      </c>
      <c r="F1025" s="9">
        <v>12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0</v>
      </c>
      <c r="N1025" s="9">
        <v>0</v>
      </c>
      <c r="O1025" s="9">
        <v>0</v>
      </c>
      <c r="P1025" s="9">
        <v>0</v>
      </c>
      <c r="Q1025" s="9">
        <v>0</v>
      </c>
      <c r="R1025" s="9">
        <v>0</v>
      </c>
      <c r="S1025" s="9">
        <v>0</v>
      </c>
      <c r="T1025" s="9">
        <v>0</v>
      </c>
      <c r="U1025" s="9">
        <v>4</v>
      </c>
      <c r="V1025" s="9">
        <v>0</v>
      </c>
      <c r="W1025" s="9">
        <v>0</v>
      </c>
      <c r="X1025" s="9">
        <v>0</v>
      </c>
      <c r="Y1025" s="9">
        <v>0</v>
      </c>
      <c r="Z1025" s="9">
        <v>84</v>
      </c>
      <c r="AA1025" s="9">
        <v>0</v>
      </c>
    </row>
    <row r="1026" spans="1:27" x14ac:dyDescent="0.25">
      <c r="A1026" s="9" t="s">
        <v>40</v>
      </c>
      <c r="B1026" s="9" t="s">
        <v>30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4</v>
      </c>
      <c r="M1026" s="9">
        <v>0</v>
      </c>
      <c r="N1026" s="9">
        <v>0</v>
      </c>
      <c r="O1026" s="9">
        <v>0</v>
      </c>
      <c r="P1026" s="9">
        <v>0</v>
      </c>
      <c r="Q1026" s="9">
        <v>0</v>
      </c>
      <c r="R1026" s="9">
        <v>0</v>
      </c>
      <c r="S1026" s="9">
        <v>0</v>
      </c>
      <c r="T1026" s="9">
        <v>8</v>
      </c>
      <c r="U1026" s="9">
        <v>12</v>
      </c>
      <c r="V1026" s="9">
        <v>0</v>
      </c>
      <c r="W1026" s="9">
        <v>0</v>
      </c>
      <c r="X1026" s="9">
        <v>8</v>
      </c>
      <c r="Y1026" s="9">
        <v>4</v>
      </c>
      <c r="Z1026" s="9">
        <v>64</v>
      </c>
      <c r="AA1026" s="9">
        <v>0</v>
      </c>
    </row>
    <row r="1027" spans="1:27" x14ac:dyDescent="0.25">
      <c r="A1027" s="9" t="s">
        <v>40</v>
      </c>
      <c r="B1027" s="9" t="s">
        <v>30</v>
      </c>
      <c r="D1027" s="9">
        <v>0</v>
      </c>
      <c r="E1027" s="9">
        <v>0</v>
      </c>
      <c r="F1027" s="9">
        <v>0</v>
      </c>
      <c r="G1027" s="9">
        <v>0</v>
      </c>
      <c r="H1027" s="9">
        <v>24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  <c r="O1027" s="9">
        <v>0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20</v>
      </c>
      <c r="V1027" s="9">
        <v>0</v>
      </c>
      <c r="W1027" s="9">
        <v>0</v>
      </c>
      <c r="X1027" s="9">
        <v>0</v>
      </c>
      <c r="Y1027" s="9">
        <v>4</v>
      </c>
      <c r="Z1027" s="9">
        <v>48</v>
      </c>
      <c r="AA1027" s="9">
        <v>4</v>
      </c>
    </row>
    <row r="1028" spans="1:27" x14ac:dyDescent="0.25">
      <c r="A1028" s="9" t="s">
        <v>40</v>
      </c>
      <c r="B1028" s="9" t="s">
        <v>30</v>
      </c>
      <c r="D1028" s="9">
        <v>0</v>
      </c>
      <c r="E1028" s="9">
        <v>0</v>
      </c>
      <c r="F1028" s="9">
        <v>0</v>
      </c>
      <c r="G1028" s="9">
        <v>0</v>
      </c>
      <c r="H1028" s="9">
        <v>12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  <c r="O1028" s="9">
        <v>0</v>
      </c>
      <c r="P1028" s="9">
        <v>0</v>
      </c>
      <c r="Q1028" s="9">
        <v>0</v>
      </c>
      <c r="R1028" s="9">
        <v>0</v>
      </c>
      <c r="S1028" s="9">
        <v>0</v>
      </c>
      <c r="T1028" s="9">
        <v>4</v>
      </c>
      <c r="U1028" s="9">
        <v>20</v>
      </c>
      <c r="V1028" s="9">
        <v>0</v>
      </c>
      <c r="W1028" s="9">
        <v>0</v>
      </c>
      <c r="X1028" s="9">
        <v>0</v>
      </c>
      <c r="Y1028" s="9">
        <v>0</v>
      </c>
      <c r="Z1028" s="9">
        <v>64</v>
      </c>
      <c r="AA1028" s="9">
        <v>0</v>
      </c>
    </row>
    <row r="1029" spans="1:27" x14ac:dyDescent="0.25">
      <c r="A1029" s="9" t="s">
        <v>40</v>
      </c>
      <c r="B1029" s="9" t="s">
        <v>30</v>
      </c>
      <c r="D1029" s="9">
        <v>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  <c r="O1029" s="9">
        <v>0</v>
      </c>
      <c r="P1029" s="9">
        <v>0</v>
      </c>
      <c r="Q1029" s="9">
        <v>0</v>
      </c>
      <c r="R1029" s="9">
        <v>0</v>
      </c>
      <c r="S1029" s="9">
        <v>0</v>
      </c>
      <c r="T1029" s="9">
        <v>0</v>
      </c>
      <c r="U1029" s="9">
        <v>24</v>
      </c>
      <c r="V1029" s="9">
        <v>0</v>
      </c>
      <c r="W1029" s="9">
        <v>0</v>
      </c>
      <c r="X1029" s="9">
        <v>0</v>
      </c>
      <c r="Y1029" s="9">
        <v>0</v>
      </c>
      <c r="Z1029" s="9">
        <v>72</v>
      </c>
      <c r="AA1029" s="9">
        <v>4</v>
      </c>
    </row>
    <row r="1030" spans="1:27" x14ac:dyDescent="0.25">
      <c r="A1030" s="9" t="s">
        <v>40</v>
      </c>
      <c r="B1030" s="9" t="s">
        <v>30</v>
      </c>
      <c r="D1030" s="9">
        <v>0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P1030" s="9">
        <v>0</v>
      </c>
      <c r="Q1030" s="9">
        <v>0</v>
      </c>
      <c r="R1030" s="9">
        <v>0</v>
      </c>
      <c r="S1030" s="9">
        <v>0</v>
      </c>
      <c r="T1030" s="9">
        <v>0</v>
      </c>
      <c r="U1030" s="9">
        <v>52</v>
      </c>
      <c r="V1030" s="9">
        <v>0</v>
      </c>
      <c r="W1030" s="9">
        <v>0</v>
      </c>
      <c r="X1030" s="9">
        <v>0</v>
      </c>
      <c r="Y1030" s="9">
        <v>0</v>
      </c>
      <c r="Z1030" s="9">
        <v>44</v>
      </c>
      <c r="AA1030" s="9">
        <v>4</v>
      </c>
    </row>
    <row r="1031" spans="1:27" x14ac:dyDescent="0.25">
      <c r="A1031" s="9" t="s">
        <v>40</v>
      </c>
      <c r="B1031" s="9" t="s">
        <v>30</v>
      </c>
      <c r="D1031" s="9">
        <v>0</v>
      </c>
      <c r="E1031" s="9">
        <v>0</v>
      </c>
      <c r="F1031" s="9">
        <v>0</v>
      </c>
      <c r="G1031" s="9">
        <v>0</v>
      </c>
      <c r="H1031" s="9">
        <v>8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0</v>
      </c>
      <c r="O1031" s="9">
        <v>0</v>
      </c>
      <c r="P1031" s="9">
        <v>0</v>
      </c>
      <c r="Q1031" s="9">
        <v>0</v>
      </c>
      <c r="R1031" s="9">
        <v>0</v>
      </c>
      <c r="S1031" s="9">
        <v>0</v>
      </c>
      <c r="T1031" s="9">
        <v>0</v>
      </c>
      <c r="U1031" s="9">
        <v>12</v>
      </c>
      <c r="V1031" s="9">
        <v>0</v>
      </c>
      <c r="W1031" s="9">
        <v>0</v>
      </c>
      <c r="X1031" s="9">
        <v>4</v>
      </c>
      <c r="Y1031" s="9">
        <v>0</v>
      </c>
      <c r="Z1031" s="9">
        <v>64</v>
      </c>
      <c r="AA1031" s="9">
        <v>12</v>
      </c>
    </row>
    <row r="1032" spans="1:27" x14ac:dyDescent="0.25">
      <c r="A1032" s="9" t="s">
        <v>40</v>
      </c>
      <c r="B1032" s="9" t="s">
        <v>30</v>
      </c>
      <c r="D1032" s="9">
        <v>0</v>
      </c>
      <c r="E1032" s="9">
        <v>0</v>
      </c>
      <c r="F1032" s="9">
        <v>8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0</v>
      </c>
      <c r="O1032" s="9">
        <v>0</v>
      </c>
      <c r="P1032" s="9">
        <v>0</v>
      </c>
      <c r="Q1032" s="9">
        <v>0</v>
      </c>
      <c r="R1032" s="9">
        <v>0</v>
      </c>
      <c r="S1032" s="9">
        <v>0</v>
      </c>
      <c r="T1032" s="9">
        <v>4</v>
      </c>
      <c r="U1032" s="9">
        <v>20</v>
      </c>
      <c r="V1032" s="9">
        <v>0</v>
      </c>
      <c r="W1032" s="9">
        <v>0</v>
      </c>
      <c r="X1032" s="9">
        <v>0</v>
      </c>
      <c r="Y1032" s="9">
        <v>0</v>
      </c>
      <c r="Z1032" s="9">
        <v>68</v>
      </c>
      <c r="AA1032" s="9">
        <v>0</v>
      </c>
    </row>
    <row r="1033" spans="1:27" x14ac:dyDescent="0.25">
      <c r="A1033" s="9" t="s">
        <v>40</v>
      </c>
      <c r="B1033" s="9" t="s">
        <v>30</v>
      </c>
      <c r="D1033" s="9">
        <v>0</v>
      </c>
      <c r="E1033" s="9">
        <v>0</v>
      </c>
      <c r="F1033" s="9">
        <v>0</v>
      </c>
      <c r="G1033" s="9">
        <v>0</v>
      </c>
      <c r="H1033" s="9">
        <v>16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</v>
      </c>
      <c r="O1033" s="9">
        <v>0</v>
      </c>
      <c r="P1033" s="9">
        <v>0</v>
      </c>
      <c r="Q1033" s="9">
        <v>0</v>
      </c>
      <c r="R1033" s="9">
        <v>0</v>
      </c>
      <c r="S1033" s="9">
        <v>0</v>
      </c>
      <c r="T1033" s="9">
        <v>0</v>
      </c>
      <c r="U1033" s="9">
        <v>36</v>
      </c>
      <c r="V1033" s="9">
        <v>0</v>
      </c>
      <c r="W1033" s="9">
        <v>0</v>
      </c>
      <c r="X1033" s="9">
        <v>0</v>
      </c>
      <c r="Y1033" s="9">
        <v>4</v>
      </c>
      <c r="Z1033" s="9">
        <v>36</v>
      </c>
      <c r="AA1033" s="9">
        <v>8</v>
      </c>
    </row>
    <row r="1034" spans="1:27" x14ac:dyDescent="0.25">
      <c r="A1034" s="9" t="s">
        <v>40</v>
      </c>
      <c r="B1034" s="9" t="s">
        <v>30</v>
      </c>
      <c r="D1034" s="9">
        <v>0</v>
      </c>
      <c r="E1034" s="9">
        <v>0</v>
      </c>
      <c r="F1034" s="9">
        <v>8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</v>
      </c>
      <c r="N1034" s="9">
        <v>0</v>
      </c>
      <c r="O1034" s="9">
        <v>0</v>
      </c>
      <c r="P1034" s="9">
        <v>0</v>
      </c>
      <c r="Q1034" s="9">
        <v>0</v>
      </c>
      <c r="R1034" s="9">
        <v>0</v>
      </c>
      <c r="S1034" s="9">
        <v>0</v>
      </c>
      <c r="T1034" s="9">
        <v>0</v>
      </c>
      <c r="U1034" s="9">
        <v>12</v>
      </c>
      <c r="V1034" s="9">
        <v>0</v>
      </c>
      <c r="W1034" s="9">
        <v>0</v>
      </c>
      <c r="X1034" s="9">
        <v>4</v>
      </c>
      <c r="Y1034" s="9">
        <v>0</v>
      </c>
      <c r="Z1034" s="9">
        <v>64</v>
      </c>
      <c r="AA1034" s="9">
        <v>12</v>
      </c>
    </row>
    <row r="1035" spans="1:27" x14ac:dyDescent="0.25">
      <c r="A1035" s="9" t="s">
        <v>40</v>
      </c>
      <c r="B1035" s="9" t="s">
        <v>30</v>
      </c>
      <c r="D1035" s="9">
        <v>0</v>
      </c>
      <c r="E1035" s="9">
        <v>0</v>
      </c>
      <c r="F1035" s="9">
        <v>12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9">
        <v>0</v>
      </c>
      <c r="O1035" s="9">
        <v>0</v>
      </c>
      <c r="P1035" s="9">
        <v>0</v>
      </c>
      <c r="Q1035" s="9">
        <v>0</v>
      </c>
      <c r="R1035" s="9">
        <v>0</v>
      </c>
      <c r="S1035" s="9">
        <v>0</v>
      </c>
      <c r="T1035" s="9">
        <v>16</v>
      </c>
      <c r="U1035" s="9">
        <v>4</v>
      </c>
      <c r="V1035" s="9">
        <v>0</v>
      </c>
      <c r="W1035" s="9">
        <v>0</v>
      </c>
      <c r="X1035" s="9">
        <v>4</v>
      </c>
      <c r="Y1035" s="9">
        <v>0</v>
      </c>
      <c r="Z1035" s="9">
        <v>60</v>
      </c>
      <c r="AA1035" s="9">
        <v>4</v>
      </c>
    </row>
    <row r="1036" spans="1:27" x14ac:dyDescent="0.25">
      <c r="A1036" s="9" t="s">
        <v>40</v>
      </c>
      <c r="B1036" s="9" t="s">
        <v>30</v>
      </c>
      <c r="D1036" s="9">
        <v>0</v>
      </c>
      <c r="E1036" s="9">
        <v>0</v>
      </c>
      <c r="F1036" s="9">
        <v>0</v>
      </c>
      <c r="G1036" s="9">
        <v>20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  <c r="O1036" s="9">
        <v>0</v>
      </c>
      <c r="P1036" s="9">
        <v>0</v>
      </c>
      <c r="Q1036" s="9">
        <v>0</v>
      </c>
      <c r="R1036" s="9">
        <v>0</v>
      </c>
      <c r="S1036" s="9">
        <v>0</v>
      </c>
      <c r="T1036" s="9">
        <v>16</v>
      </c>
      <c r="U1036" s="9">
        <v>28</v>
      </c>
      <c r="V1036" s="9">
        <v>0</v>
      </c>
      <c r="W1036" s="9">
        <v>0</v>
      </c>
      <c r="X1036" s="9">
        <v>0</v>
      </c>
      <c r="Y1036" s="9">
        <v>0</v>
      </c>
      <c r="Z1036" s="9">
        <v>36</v>
      </c>
      <c r="AA1036" s="9">
        <v>0</v>
      </c>
    </row>
    <row r="1037" spans="1:27" s="10" customFormat="1" x14ac:dyDescent="0.25">
      <c r="A1037" s="10" t="s">
        <v>40</v>
      </c>
      <c r="B1037" s="10" t="s">
        <v>30</v>
      </c>
      <c r="C1037" s="10" t="s">
        <v>84</v>
      </c>
      <c r="D1037" s="10">
        <v>0</v>
      </c>
      <c r="E1037" s="10">
        <v>0</v>
      </c>
      <c r="F1037" s="10">
        <v>4.5333333333333297</v>
      </c>
      <c r="G1037" s="10">
        <v>1.3333333333333299</v>
      </c>
      <c r="H1037" s="10">
        <v>4</v>
      </c>
      <c r="I1037" s="10">
        <v>0</v>
      </c>
      <c r="J1037" s="10">
        <v>0</v>
      </c>
      <c r="K1037" s="10">
        <v>0</v>
      </c>
      <c r="L1037" s="10">
        <v>0.266666666666667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0.266666666666667</v>
      </c>
      <c r="S1037" s="10">
        <v>0</v>
      </c>
      <c r="T1037" s="10">
        <v>3.7333333333333298</v>
      </c>
      <c r="U1037" s="10">
        <v>17.066666666666698</v>
      </c>
      <c r="V1037" s="10">
        <v>0</v>
      </c>
      <c r="W1037" s="10">
        <v>0</v>
      </c>
      <c r="X1037" s="10">
        <v>1.6</v>
      </c>
      <c r="Y1037" s="10">
        <v>1.06666666666667</v>
      </c>
      <c r="Z1037" s="10">
        <v>62.4</v>
      </c>
      <c r="AA1037" s="10">
        <v>3.7333333333333298</v>
      </c>
    </row>
    <row r="1038" spans="1:27" s="10" customFormat="1" x14ac:dyDescent="0.25">
      <c r="A1038" s="10" t="s">
        <v>40</v>
      </c>
      <c r="B1038" s="10" t="s">
        <v>30</v>
      </c>
      <c r="C1038" s="10" t="s">
        <v>83</v>
      </c>
      <c r="D1038" s="10">
        <v>0</v>
      </c>
      <c r="E1038" s="10">
        <v>0</v>
      </c>
      <c r="F1038" s="10">
        <v>7.9809296510643497</v>
      </c>
      <c r="G1038" s="10">
        <v>5.1639777949432197</v>
      </c>
      <c r="H1038" s="10">
        <v>7.55928946018454</v>
      </c>
      <c r="I1038" s="10">
        <v>0</v>
      </c>
      <c r="J1038" s="10">
        <v>0</v>
      </c>
      <c r="K1038" s="10">
        <v>0</v>
      </c>
      <c r="L1038" s="10">
        <v>1.03279555898864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1.03279555898864</v>
      </c>
      <c r="S1038" s="10">
        <v>0</v>
      </c>
      <c r="T1038" s="10">
        <v>5.5480584334479</v>
      </c>
      <c r="U1038" s="10">
        <v>13.976851610873601</v>
      </c>
      <c r="V1038" s="10">
        <v>0</v>
      </c>
      <c r="W1038" s="10">
        <v>0</v>
      </c>
      <c r="X1038" s="10">
        <v>2.5298221281347</v>
      </c>
      <c r="Y1038" s="10">
        <v>1.83095083286825</v>
      </c>
      <c r="Z1038" s="10">
        <v>16.198765385053299</v>
      </c>
      <c r="AA1038" s="10">
        <v>4.1311822359545802</v>
      </c>
    </row>
    <row r="1039" spans="1:27" s="10" customFormat="1" x14ac:dyDescent="0.25">
      <c r="A1039" s="10" t="s">
        <v>40</v>
      </c>
      <c r="B1039" s="10" t="s">
        <v>30</v>
      </c>
      <c r="C1039" s="10" t="s">
        <v>82</v>
      </c>
      <c r="D1039" s="10">
        <v>0</v>
      </c>
      <c r="E1039" s="10">
        <v>0</v>
      </c>
      <c r="F1039" s="10">
        <v>0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12</v>
      </c>
      <c r="V1039" s="10">
        <v>0</v>
      </c>
      <c r="W1039" s="10">
        <v>0</v>
      </c>
      <c r="X1039" s="10">
        <v>0</v>
      </c>
      <c r="Y1039" s="10">
        <v>0</v>
      </c>
      <c r="Z1039" s="10">
        <v>64</v>
      </c>
      <c r="AA1039" s="10">
        <v>4</v>
      </c>
    </row>
    <row r="1040" spans="1:27" s="10" customFormat="1" x14ac:dyDescent="0.25">
      <c r="A1040" s="10" t="s">
        <v>40</v>
      </c>
      <c r="B1040" s="10" t="s">
        <v>30</v>
      </c>
      <c r="C1040" s="10" t="s">
        <v>81</v>
      </c>
      <c r="D1040" s="10">
        <v>0</v>
      </c>
      <c r="E1040" s="10">
        <v>0</v>
      </c>
      <c r="F1040" s="10">
        <v>0</v>
      </c>
      <c r="G1040" s="10">
        <v>0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6</v>
      </c>
      <c r="V1040" s="10">
        <v>0</v>
      </c>
      <c r="W1040" s="10">
        <v>0</v>
      </c>
      <c r="X1040" s="10">
        <v>0</v>
      </c>
      <c r="Y1040" s="10">
        <v>0</v>
      </c>
      <c r="Z1040" s="10">
        <v>54</v>
      </c>
      <c r="AA1040" s="10">
        <v>0</v>
      </c>
    </row>
    <row r="1041" spans="1:27" s="10" customFormat="1" x14ac:dyDescent="0.25">
      <c r="A1041" s="10" t="s">
        <v>40</v>
      </c>
      <c r="B1041" s="10" t="s">
        <v>30</v>
      </c>
      <c r="C1041" s="10" t="s">
        <v>80</v>
      </c>
      <c r="D1041" s="10">
        <v>0</v>
      </c>
      <c r="E1041" s="10">
        <v>0</v>
      </c>
      <c r="F1041" s="10">
        <v>8</v>
      </c>
      <c r="G1041" s="10">
        <v>0</v>
      </c>
      <c r="H1041" s="10">
        <v>4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4</v>
      </c>
      <c r="U1041" s="10">
        <v>22</v>
      </c>
      <c r="V1041" s="10">
        <v>0</v>
      </c>
      <c r="W1041" s="10">
        <v>0</v>
      </c>
      <c r="X1041" s="10">
        <v>4</v>
      </c>
      <c r="Y1041" s="10">
        <v>2</v>
      </c>
      <c r="Z1041" s="10">
        <v>70</v>
      </c>
      <c r="AA1041" s="10">
        <v>4</v>
      </c>
    </row>
    <row r="1042" spans="1:27" x14ac:dyDescent="0.25">
      <c r="A1042" s="9" t="s">
        <v>40</v>
      </c>
      <c r="B1042" s="9" t="s">
        <v>31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  <c r="O1042" s="9">
        <v>16</v>
      </c>
      <c r="P1042" s="9">
        <v>0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4</v>
      </c>
      <c r="Y1042" s="9">
        <v>0</v>
      </c>
      <c r="Z1042" s="9">
        <v>80</v>
      </c>
      <c r="AA1042" s="9">
        <v>0</v>
      </c>
    </row>
    <row r="1043" spans="1:27" x14ac:dyDescent="0.25">
      <c r="A1043" s="9" t="s">
        <v>40</v>
      </c>
      <c r="B1043" s="9" t="s">
        <v>31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0</v>
      </c>
      <c r="Q1043" s="9">
        <v>0</v>
      </c>
      <c r="R1043" s="9">
        <v>4</v>
      </c>
      <c r="S1043" s="9">
        <v>0</v>
      </c>
      <c r="T1043" s="9">
        <v>0</v>
      </c>
      <c r="U1043" s="9">
        <v>28</v>
      </c>
      <c r="V1043" s="9">
        <v>0</v>
      </c>
      <c r="W1043" s="9">
        <v>0</v>
      </c>
      <c r="X1043" s="9">
        <v>0</v>
      </c>
      <c r="Y1043" s="9">
        <v>0</v>
      </c>
      <c r="Z1043" s="9">
        <v>68</v>
      </c>
      <c r="AA1043" s="9">
        <v>0</v>
      </c>
    </row>
    <row r="1044" spans="1:27" x14ac:dyDescent="0.25">
      <c r="A1044" s="9" t="s">
        <v>40</v>
      </c>
      <c r="B1044" s="9" t="s">
        <v>31</v>
      </c>
      <c r="D1044" s="9">
        <v>0</v>
      </c>
      <c r="E1044" s="9">
        <v>0</v>
      </c>
      <c r="F1044" s="9">
        <v>0</v>
      </c>
      <c r="G1044" s="9">
        <v>0</v>
      </c>
      <c r="H1044" s="9">
        <v>4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  <c r="O1044" s="9">
        <v>0</v>
      </c>
      <c r="P1044" s="9">
        <v>0</v>
      </c>
      <c r="Q1044" s="9">
        <v>0</v>
      </c>
      <c r="R1044" s="9">
        <v>4</v>
      </c>
      <c r="S1044" s="9">
        <v>0</v>
      </c>
      <c r="T1044" s="9">
        <v>0</v>
      </c>
      <c r="U1044" s="9">
        <v>12</v>
      </c>
      <c r="V1044" s="9">
        <v>0</v>
      </c>
      <c r="W1044" s="9">
        <v>0</v>
      </c>
      <c r="X1044" s="9">
        <v>0</v>
      </c>
      <c r="Y1044" s="9">
        <v>0</v>
      </c>
      <c r="Z1044" s="9">
        <v>56</v>
      </c>
      <c r="AA1044" s="9">
        <v>24</v>
      </c>
    </row>
    <row r="1045" spans="1:27" x14ac:dyDescent="0.25">
      <c r="A1045" s="9" t="s">
        <v>40</v>
      </c>
      <c r="B1045" s="9" t="s">
        <v>31</v>
      </c>
      <c r="D1045" s="9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  <c r="O1045" s="9">
        <v>0</v>
      </c>
      <c r="P1045" s="9">
        <v>0</v>
      </c>
      <c r="Q1045" s="9">
        <v>0</v>
      </c>
      <c r="R1045" s="9">
        <v>8</v>
      </c>
      <c r="S1045" s="9">
        <v>0</v>
      </c>
      <c r="T1045" s="9">
        <v>0</v>
      </c>
      <c r="U1045" s="9">
        <v>32</v>
      </c>
      <c r="V1045" s="9">
        <v>0</v>
      </c>
      <c r="W1045" s="9">
        <v>0</v>
      </c>
      <c r="X1045" s="9">
        <v>0</v>
      </c>
      <c r="Y1045" s="9">
        <v>0</v>
      </c>
      <c r="Z1045" s="9">
        <v>60</v>
      </c>
      <c r="AA1045" s="9">
        <v>0</v>
      </c>
    </row>
    <row r="1046" spans="1:27" x14ac:dyDescent="0.25">
      <c r="A1046" s="9" t="s">
        <v>40</v>
      </c>
      <c r="B1046" s="9" t="s">
        <v>31</v>
      </c>
      <c r="D1046" s="9">
        <v>0</v>
      </c>
      <c r="E1046" s="9">
        <v>0</v>
      </c>
      <c r="F1046" s="9">
        <v>0</v>
      </c>
      <c r="G1046" s="9">
        <v>52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0</v>
      </c>
      <c r="Y1046" s="9">
        <v>0</v>
      </c>
      <c r="Z1046" s="9">
        <v>48</v>
      </c>
      <c r="AA1046" s="9">
        <v>0</v>
      </c>
    </row>
    <row r="1047" spans="1:27" x14ac:dyDescent="0.25">
      <c r="A1047" s="9" t="s">
        <v>40</v>
      </c>
      <c r="B1047" s="9" t="s">
        <v>31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v>0</v>
      </c>
      <c r="R1047" s="9">
        <v>0</v>
      </c>
      <c r="S1047" s="9">
        <v>0</v>
      </c>
      <c r="T1047" s="9">
        <v>4</v>
      </c>
      <c r="U1047" s="9">
        <v>8</v>
      </c>
      <c r="V1047" s="9">
        <v>0</v>
      </c>
      <c r="W1047" s="9">
        <v>0</v>
      </c>
      <c r="X1047" s="9">
        <v>0</v>
      </c>
      <c r="Y1047" s="9">
        <v>0</v>
      </c>
      <c r="Z1047" s="9">
        <v>84</v>
      </c>
      <c r="AA1047" s="9">
        <v>4</v>
      </c>
    </row>
    <row r="1048" spans="1:27" x14ac:dyDescent="0.25">
      <c r="A1048" s="9" t="s">
        <v>40</v>
      </c>
      <c r="B1048" s="9" t="s">
        <v>31</v>
      </c>
      <c r="D1048" s="9">
        <v>0</v>
      </c>
      <c r="E1048" s="9">
        <v>0</v>
      </c>
      <c r="F1048" s="9">
        <v>8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  <c r="O1048" s="9">
        <v>0</v>
      </c>
      <c r="P1048" s="9">
        <v>0</v>
      </c>
      <c r="Q1048" s="9">
        <v>0</v>
      </c>
      <c r="R1048" s="9">
        <v>0</v>
      </c>
      <c r="S1048" s="9">
        <v>0</v>
      </c>
      <c r="T1048" s="9">
        <v>0</v>
      </c>
      <c r="U1048" s="9">
        <v>4</v>
      </c>
      <c r="V1048" s="9">
        <v>0</v>
      </c>
      <c r="W1048" s="9">
        <v>0</v>
      </c>
      <c r="X1048" s="9">
        <v>0</v>
      </c>
      <c r="Y1048" s="9">
        <v>0</v>
      </c>
      <c r="Z1048" s="9">
        <v>88</v>
      </c>
      <c r="AA1048" s="9">
        <v>0</v>
      </c>
    </row>
    <row r="1049" spans="1:27" x14ac:dyDescent="0.25">
      <c r="A1049" s="9" t="s">
        <v>40</v>
      </c>
      <c r="B1049" s="9" t="s">
        <v>31</v>
      </c>
      <c r="D1049" s="9">
        <v>0</v>
      </c>
      <c r="E1049" s="9">
        <v>0</v>
      </c>
      <c r="F1049" s="9">
        <v>0</v>
      </c>
      <c r="G1049" s="9">
        <v>88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8</v>
      </c>
      <c r="S1049" s="9">
        <v>0</v>
      </c>
      <c r="T1049" s="9">
        <v>0</v>
      </c>
      <c r="U1049" s="9">
        <v>0</v>
      </c>
      <c r="V1049" s="9">
        <v>0</v>
      </c>
      <c r="W1049" s="9">
        <v>0</v>
      </c>
      <c r="X1049" s="9">
        <v>0</v>
      </c>
      <c r="Y1049" s="9">
        <v>0</v>
      </c>
      <c r="Z1049" s="9">
        <v>0</v>
      </c>
      <c r="AA1049" s="9">
        <v>4</v>
      </c>
    </row>
    <row r="1050" spans="1:27" x14ac:dyDescent="0.25">
      <c r="A1050" s="9" t="s">
        <v>40</v>
      </c>
      <c r="B1050" s="9" t="s">
        <v>31</v>
      </c>
      <c r="D1050" s="9">
        <v>0</v>
      </c>
      <c r="E1050" s="9">
        <v>0</v>
      </c>
      <c r="F1050" s="9">
        <v>4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0</v>
      </c>
      <c r="Q1050" s="9">
        <v>0</v>
      </c>
      <c r="R1050" s="9">
        <v>0</v>
      </c>
      <c r="S1050" s="9">
        <v>0</v>
      </c>
      <c r="T1050" s="9">
        <v>0</v>
      </c>
      <c r="U1050" s="9">
        <v>4</v>
      </c>
      <c r="V1050" s="9">
        <v>0</v>
      </c>
      <c r="W1050" s="9">
        <v>0</v>
      </c>
      <c r="X1050" s="9">
        <v>0</v>
      </c>
      <c r="Y1050" s="9">
        <v>4</v>
      </c>
      <c r="Z1050" s="9">
        <v>84</v>
      </c>
      <c r="AA1050" s="9">
        <v>4</v>
      </c>
    </row>
    <row r="1051" spans="1:27" x14ac:dyDescent="0.25">
      <c r="A1051" s="9" t="s">
        <v>40</v>
      </c>
      <c r="B1051" s="9" t="s">
        <v>31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  <c r="O1051" s="9">
        <v>0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0</v>
      </c>
      <c r="X1051" s="9">
        <v>0</v>
      </c>
      <c r="Y1051" s="9">
        <v>0</v>
      </c>
      <c r="Z1051" s="9">
        <v>100</v>
      </c>
      <c r="AA1051" s="9">
        <v>0</v>
      </c>
    </row>
    <row r="1052" spans="1:27" x14ac:dyDescent="0.25">
      <c r="A1052" s="9" t="s">
        <v>40</v>
      </c>
      <c r="B1052" s="9" t="s">
        <v>31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  <c r="O1052" s="9">
        <v>0</v>
      </c>
      <c r="P1052" s="9">
        <v>0</v>
      </c>
      <c r="Q1052" s="9">
        <v>0</v>
      </c>
      <c r="R1052" s="9">
        <v>0</v>
      </c>
      <c r="S1052" s="9">
        <v>0</v>
      </c>
      <c r="T1052" s="9">
        <v>0</v>
      </c>
      <c r="U1052" s="9">
        <v>28</v>
      </c>
      <c r="V1052" s="9">
        <v>0</v>
      </c>
      <c r="W1052" s="9">
        <v>0</v>
      </c>
      <c r="X1052" s="9">
        <v>4</v>
      </c>
      <c r="Y1052" s="9">
        <v>0</v>
      </c>
      <c r="Z1052" s="9">
        <v>60</v>
      </c>
      <c r="AA1052" s="9">
        <v>8</v>
      </c>
    </row>
    <row r="1053" spans="1:27" x14ac:dyDescent="0.25">
      <c r="A1053" s="9" t="s">
        <v>40</v>
      </c>
      <c r="B1053" s="9" t="s">
        <v>31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4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40</v>
      </c>
      <c r="V1053" s="9">
        <v>0</v>
      </c>
      <c r="W1053" s="9">
        <v>0</v>
      </c>
      <c r="X1053" s="9">
        <v>0</v>
      </c>
      <c r="Y1053" s="9">
        <v>0</v>
      </c>
      <c r="Z1053" s="9">
        <v>56</v>
      </c>
      <c r="AA1053" s="9">
        <v>0</v>
      </c>
    </row>
    <row r="1054" spans="1:27" x14ac:dyDescent="0.25">
      <c r="A1054" s="9" t="s">
        <v>40</v>
      </c>
      <c r="B1054" s="9" t="s">
        <v>31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20</v>
      </c>
      <c r="V1054" s="9">
        <v>0</v>
      </c>
      <c r="W1054" s="9">
        <v>0</v>
      </c>
      <c r="X1054" s="9">
        <v>4</v>
      </c>
      <c r="Y1054" s="9">
        <v>0</v>
      </c>
      <c r="Z1054" s="9">
        <v>60</v>
      </c>
      <c r="AA1054" s="9">
        <v>16</v>
      </c>
    </row>
    <row r="1055" spans="1:27" x14ac:dyDescent="0.25">
      <c r="A1055" s="9" t="s">
        <v>40</v>
      </c>
      <c r="B1055" s="9" t="s">
        <v>31</v>
      </c>
      <c r="D1055" s="9">
        <v>0</v>
      </c>
      <c r="E1055" s="9">
        <v>0</v>
      </c>
      <c r="F1055" s="9">
        <v>0</v>
      </c>
      <c r="G1055" s="9">
        <v>4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8</v>
      </c>
      <c r="O1055" s="9">
        <v>0</v>
      </c>
      <c r="P1055" s="9">
        <v>0</v>
      </c>
      <c r="Q1055" s="9">
        <v>0</v>
      </c>
      <c r="R1055" s="9">
        <v>0</v>
      </c>
      <c r="S1055" s="9">
        <v>0</v>
      </c>
      <c r="T1055" s="9">
        <v>4</v>
      </c>
      <c r="U1055" s="9">
        <v>0</v>
      </c>
      <c r="V1055" s="9">
        <v>0</v>
      </c>
      <c r="W1055" s="9">
        <v>0</v>
      </c>
      <c r="X1055" s="9">
        <v>4</v>
      </c>
      <c r="Y1055" s="9">
        <v>0</v>
      </c>
      <c r="Z1055" s="9">
        <v>80</v>
      </c>
      <c r="AA1055" s="9">
        <v>0</v>
      </c>
    </row>
    <row r="1056" spans="1:27" x14ac:dyDescent="0.25">
      <c r="A1056" s="9" t="s">
        <v>40</v>
      </c>
      <c r="B1056" s="9" t="s">
        <v>31</v>
      </c>
      <c r="D1056" s="9">
        <v>0</v>
      </c>
      <c r="E1056" s="9">
        <v>0</v>
      </c>
      <c r="F1056" s="9">
        <v>8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0</v>
      </c>
      <c r="Q1056" s="9">
        <v>0</v>
      </c>
      <c r="R1056" s="9">
        <v>4</v>
      </c>
      <c r="S1056" s="9">
        <v>0</v>
      </c>
      <c r="T1056" s="9">
        <v>0</v>
      </c>
      <c r="U1056" s="9">
        <v>12</v>
      </c>
      <c r="V1056" s="9">
        <v>0</v>
      </c>
      <c r="W1056" s="9">
        <v>0</v>
      </c>
      <c r="X1056" s="9">
        <v>0</v>
      </c>
      <c r="Y1056" s="9">
        <v>0</v>
      </c>
      <c r="Z1056" s="9">
        <v>76</v>
      </c>
      <c r="AA1056" s="9">
        <v>0</v>
      </c>
    </row>
    <row r="1057" spans="1:27" s="10" customFormat="1" x14ac:dyDescent="0.25">
      <c r="A1057" s="10" t="s">
        <v>40</v>
      </c>
      <c r="B1057" s="10" t="s">
        <v>31</v>
      </c>
      <c r="C1057" s="10" t="s">
        <v>84</v>
      </c>
      <c r="D1057" s="10">
        <v>0</v>
      </c>
      <c r="E1057" s="10">
        <v>0</v>
      </c>
      <c r="F1057" s="10">
        <v>1.3333333333333299</v>
      </c>
      <c r="G1057" s="10">
        <v>9.6</v>
      </c>
      <c r="H1057" s="10">
        <v>0.266666666666667</v>
      </c>
      <c r="I1057" s="10">
        <v>0</v>
      </c>
      <c r="J1057" s="10">
        <v>0</v>
      </c>
      <c r="K1057" s="10">
        <v>0</v>
      </c>
      <c r="L1057" s="10">
        <v>0.266666666666667</v>
      </c>
      <c r="M1057" s="10">
        <v>0</v>
      </c>
      <c r="N1057" s="10">
        <v>0.53333333333333299</v>
      </c>
      <c r="O1057" s="10">
        <v>1.06666666666667</v>
      </c>
      <c r="P1057" s="10">
        <v>0</v>
      </c>
      <c r="Q1057" s="10">
        <v>0</v>
      </c>
      <c r="R1057" s="10">
        <v>1.86666666666667</v>
      </c>
      <c r="S1057" s="10">
        <v>0</v>
      </c>
      <c r="T1057" s="10">
        <v>0.53333333333333299</v>
      </c>
      <c r="U1057" s="10">
        <v>12.533333333333299</v>
      </c>
      <c r="V1057" s="10">
        <v>0</v>
      </c>
      <c r="W1057" s="10">
        <v>0</v>
      </c>
      <c r="X1057" s="10">
        <v>1.06666666666667</v>
      </c>
      <c r="Y1057" s="10">
        <v>0.266666666666667</v>
      </c>
      <c r="Z1057" s="10">
        <v>66.6666666666667</v>
      </c>
      <c r="AA1057" s="10">
        <v>4</v>
      </c>
    </row>
    <row r="1058" spans="1:27" s="10" customFormat="1" x14ac:dyDescent="0.25">
      <c r="A1058" s="10" t="s">
        <v>40</v>
      </c>
      <c r="B1058" s="10" t="s">
        <v>31</v>
      </c>
      <c r="C1058" s="10" t="s">
        <v>83</v>
      </c>
      <c r="D1058" s="10">
        <v>0</v>
      </c>
      <c r="E1058" s="10">
        <v>0</v>
      </c>
      <c r="F1058" s="10">
        <v>2.8949874578229799</v>
      </c>
      <c r="G1058" s="10">
        <v>25.469309262045499</v>
      </c>
      <c r="H1058" s="10">
        <v>1.03279555898864</v>
      </c>
      <c r="I1058" s="10">
        <v>0</v>
      </c>
      <c r="J1058" s="10">
        <v>0</v>
      </c>
      <c r="K1058" s="10">
        <v>0</v>
      </c>
      <c r="L1058" s="10">
        <v>1.03279555898864</v>
      </c>
      <c r="M1058" s="10">
        <v>0</v>
      </c>
      <c r="N1058" s="10">
        <v>2.0655911179772901</v>
      </c>
      <c r="O1058" s="10">
        <v>4.1311822359545802</v>
      </c>
      <c r="P1058" s="10">
        <v>0</v>
      </c>
      <c r="Q1058" s="10">
        <v>0</v>
      </c>
      <c r="R1058" s="10">
        <v>2.9728934118288302</v>
      </c>
      <c r="S1058" s="10">
        <v>0</v>
      </c>
      <c r="T1058" s="10">
        <v>1.4074631010979901</v>
      </c>
      <c r="U1058" s="10">
        <v>13.6793205066556</v>
      </c>
      <c r="V1058" s="10">
        <v>0</v>
      </c>
      <c r="W1058" s="10">
        <v>0</v>
      </c>
      <c r="X1058" s="10">
        <v>1.83095083286825</v>
      </c>
      <c r="Y1058" s="10">
        <v>1.03279555898864</v>
      </c>
      <c r="Z1058" s="10">
        <v>23.551362310207601</v>
      </c>
      <c r="AA1058" s="10">
        <v>7.0912420834233503</v>
      </c>
    </row>
    <row r="1059" spans="1:27" s="10" customFormat="1" x14ac:dyDescent="0.25">
      <c r="A1059" s="10" t="s">
        <v>40</v>
      </c>
      <c r="B1059" s="10" t="s">
        <v>31</v>
      </c>
      <c r="C1059" s="10" t="s">
        <v>82</v>
      </c>
      <c r="D1059" s="10">
        <v>0</v>
      </c>
      <c r="E1059" s="10">
        <v>0</v>
      </c>
      <c r="F1059" s="10">
        <v>0</v>
      </c>
      <c r="G1059" s="10">
        <v>0</v>
      </c>
      <c r="H1059" s="10">
        <v>0</v>
      </c>
      <c r="I1059" s="10">
        <v>0</v>
      </c>
      <c r="J1059" s="10">
        <v>0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8</v>
      </c>
      <c r="V1059" s="10">
        <v>0</v>
      </c>
      <c r="W1059" s="10">
        <v>0</v>
      </c>
      <c r="X1059" s="10">
        <v>0</v>
      </c>
      <c r="Y1059" s="10">
        <v>0</v>
      </c>
      <c r="Z1059" s="10">
        <v>68</v>
      </c>
      <c r="AA1059" s="10">
        <v>0</v>
      </c>
    </row>
    <row r="1060" spans="1:27" s="10" customFormat="1" x14ac:dyDescent="0.25">
      <c r="A1060" s="10" t="s">
        <v>40</v>
      </c>
      <c r="B1060" s="10" t="s">
        <v>31</v>
      </c>
      <c r="C1060" s="10" t="s">
        <v>81</v>
      </c>
      <c r="D1060" s="10">
        <v>0</v>
      </c>
      <c r="E1060" s="10">
        <v>0</v>
      </c>
      <c r="F1060" s="10">
        <v>0</v>
      </c>
      <c r="G1060" s="10">
        <v>0</v>
      </c>
      <c r="H1060" s="10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58</v>
      </c>
      <c r="AA1060" s="10">
        <v>0</v>
      </c>
    </row>
    <row r="1061" spans="1:27" s="10" customFormat="1" x14ac:dyDescent="0.25">
      <c r="A1061" s="10" t="s">
        <v>40</v>
      </c>
      <c r="B1061" s="10" t="s">
        <v>31</v>
      </c>
      <c r="C1061" s="10" t="s">
        <v>80</v>
      </c>
      <c r="D1061" s="10">
        <v>0</v>
      </c>
      <c r="E1061" s="10">
        <v>0</v>
      </c>
      <c r="F1061" s="10">
        <v>0</v>
      </c>
      <c r="G1061" s="10">
        <v>0</v>
      </c>
      <c r="H1061" s="10">
        <v>0</v>
      </c>
      <c r="I1061" s="10">
        <v>0</v>
      </c>
      <c r="J1061" s="10">
        <v>0</v>
      </c>
      <c r="K1061" s="10">
        <v>0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0</v>
      </c>
      <c r="R1061" s="10">
        <v>4</v>
      </c>
      <c r="S1061" s="10">
        <v>0</v>
      </c>
      <c r="T1061" s="10">
        <v>0</v>
      </c>
      <c r="U1061" s="10">
        <v>24</v>
      </c>
      <c r="V1061" s="10">
        <v>0</v>
      </c>
      <c r="W1061" s="10">
        <v>0</v>
      </c>
      <c r="X1061" s="10">
        <v>2</v>
      </c>
      <c r="Y1061" s="10">
        <v>0</v>
      </c>
      <c r="Z1061" s="10">
        <v>82</v>
      </c>
      <c r="AA1061" s="10">
        <v>4</v>
      </c>
    </row>
    <row r="1062" spans="1:27" x14ac:dyDescent="0.25">
      <c r="A1062" s="9" t="s">
        <v>40</v>
      </c>
      <c r="B1062" s="9" t="s">
        <v>32</v>
      </c>
      <c r="D1062" s="9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  <c r="O1062" s="9">
        <v>0</v>
      </c>
      <c r="P1062" s="9">
        <v>0</v>
      </c>
      <c r="Q1062" s="9">
        <v>0</v>
      </c>
      <c r="R1062" s="9">
        <v>4</v>
      </c>
      <c r="S1062" s="9">
        <v>0</v>
      </c>
      <c r="T1062" s="9">
        <v>0</v>
      </c>
      <c r="U1062" s="9">
        <v>24</v>
      </c>
      <c r="V1062" s="9">
        <v>0</v>
      </c>
      <c r="W1062" s="9">
        <v>0</v>
      </c>
      <c r="X1062" s="9">
        <v>0</v>
      </c>
      <c r="Y1062" s="9">
        <v>0</v>
      </c>
      <c r="Z1062" s="9">
        <v>56</v>
      </c>
      <c r="AA1062" s="9">
        <v>16</v>
      </c>
    </row>
    <row r="1063" spans="1:27" x14ac:dyDescent="0.25">
      <c r="A1063" s="9" t="s">
        <v>40</v>
      </c>
      <c r="B1063" s="9" t="s">
        <v>32</v>
      </c>
      <c r="D1063" s="9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9">
        <v>0</v>
      </c>
      <c r="O1063" s="9">
        <v>0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8</v>
      </c>
      <c r="V1063" s="9">
        <v>0</v>
      </c>
      <c r="W1063" s="9">
        <v>0</v>
      </c>
      <c r="X1063" s="9">
        <v>0</v>
      </c>
      <c r="Y1063" s="9">
        <v>0</v>
      </c>
      <c r="Z1063" s="9">
        <v>92</v>
      </c>
      <c r="AA1063" s="9">
        <v>0</v>
      </c>
    </row>
    <row r="1064" spans="1:27" x14ac:dyDescent="0.25">
      <c r="A1064" s="9" t="s">
        <v>40</v>
      </c>
      <c r="B1064" s="9" t="s">
        <v>32</v>
      </c>
      <c r="D1064" s="9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4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4</v>
      </c>
      <c r="V1064" s="9">
        <v>0</v>
      </c>
      <c r="W1064" s="9">
        <v>0</v>
      </c>
      <c r="X1064" s="9">
        <v>0</v>
      </c>
      <c r="Y1064" s="9">
        <v>0</v>
      </c>
      <c r="Z1064" s="9">
        <v>88</v>
      </c>
      <c r="AA1064" s="9">
        <v>4</v>
      </c>
    </row>
    <row r="1065" spans="1:27" x14ac:dyDescent="0.25">
      <c r="A1065" s="9" t="s">
        <v>40</v>
      </c>
      <c r="B1065" s="9" t="s">
        <v>32</v>
      </c>
      <c r="D1065" s="9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0</v>
      </c>
      <c r="X1065" s="9">
        <v>0</v>
      </c>
      <c r="Y1065" s="9">
        <v>0</v>
      </c>
      <c r="Z1065" s="9">
        <v>92</v>
      </c>
      <c r="AA1065" s="9">
        <v>8</v>
      </c>
    </row>
    <row r="1066" spans="1:27" x14ac:dyDescent="0.25">
      <c r="A1066" s="9" t="s">
        <v>40</v>
      </c>
      <c r="B1066" s="9" t="s">
        <v>32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0</v>
      </c>
      <c r="Q1066" s="9">
        <v>0</v>
      </c>
      <c r="R1066" s="9">
        <v>4</v>
      </c>
      <c r="S1066" s="9">
        <v>0</v>
      </c>
      <c r="T1066" s="9">
        <v>0</v>
      </c>
      <c r="U1066" s="9">
        <v>4</v>
      </c>
      <c r="V1066" s="9">
        <v>0</v>
      </c>
      <c r="W1066" s="9">
        <v>0</v>
      </c>
      <c r="X1066" s="9">
        <v>4</v>
      </c>
      <c r="Y1066" s="9">
        <v>4</v>
      </c>
      <c r="Z1066" s="9">
        <v>84</v>
      </c>
      <c r="AA1066" s="9">
        <v>0</v>
      </c>
    </row>
    <row r="1067" spans="1:27" x14ac:dyDescent="0.25">
      <c r="A1067" s="9" t="s">
        <v>40</v>
      </c>
      <c r="B1067" s="9" t="s">
        <v>32</v>
      </c>
      <c r="D1067" s="9">
        <v>0</v>
      </c>
      <c r="E1067" s="9">
        <v>0</v>
      </c>
      <c r="F1067" s="9">
        <v>0</v>
      </c>
      <c r="G1067" s="9">
        <v>0</v>
      </c>
      <c r="H1067" s="9">
        <v>8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20</v>
      </c>
      <c r="V1067" s="9">
        <v>0</v>
      </c>
      <c r="W1067" s="9">
        <v>0</v>
      </c>
      <c r="X1067" s="9">
        <v>0</v>
      </c>
      <c r="Y1067" s="9">
        <v>0</v>
      </c>
      <c r="Z1067" s="9">
        <v>72</v>
      </c>
      <c r="AA1067" s="9">
        <v>0</v>
      </c>
    </row>
    <row r="1068" spans="1:27" x14ac:dyDescent="0.25">
      <c r="A1068" s="9" t="s">
        <v>40</v>
      </c>
      <c r="B1068" s="9" t="s">
        <v>32</v>
      </c>
      <c r="D1068" s="9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4</v>
      </c>
      <c r="U1068" s="9">
        <v>40</v>
      </c>
      <c r="V1068" s="9">
        <v>0</v>
      </c>
      <c r="W1068" s="9">
        <v>0</v>
      </c>
      <c r="X1068" s="9">
        <v>0</v>
      </c>
      <c r="Y1068" s="9">
        <v>0</v>
      </c>
      <c r="Z1068" s="9">
        <v>56</v>
      </c>
      <c r="AA1068" s="9">
        <v>0</v>
      </c>
    </row>
    <row r="1069" spans="1:27" x14ac:dyDescent="0.25">
      <c r="A1069" s="9" t="s">
        <v>40</v>
      </c>
      <c r="B1069" s="9" t="s">
        <v>32</v>
      </c>
      <c r="D1069" s="9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36</v>
      </c>
      <c r="V1069" s="9">
        <v>0</v>
      </c>
      <c r="W1069" s="9">
        <v>0</v>
      </c>
      <c r="X1069" s="9">
        <v>4</v>
      </c>
      <c r="Y1069" s="9">
        <v>0</v>
      </c>
      <c r="Z1069" s="9">
        <v>52</v>
      </c>
      <c r="AA1069" s="9">
        <v>8</v>
      </c>
    </row>
    <row r="1070" spans="1:27" x14ac:dyDescent="0.25">
      <c r="A1070" s="9" t="s">
        <v>40</v>
      </c>
      <c r="B1070" s="9" t="s">
        <v>32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  <c r="O1070" s="9">
        <v>0</v>
      </c>
      <c r="P1070" s="9">
        <v>0</v>
      </c>
      <c r="Q1070" s="9">
        <v>0</v>
      </c>
      <c r="R1070" s="9">
        <v>0</v>
      </c>
      <c r="S1070" s="9">
        <v>0</v>
      </c>
      <c r="T1070" s="9">
        <v>0</v>
      </c>
      <c r="U1070" s="9">
        <v>24</v>
      </c>
      <c r="V1070" s="9">
        <v>0</v>
      </c>
      <c r="W1070" s="9">
        <v>0</v>
      </c>
      <c r="X1070" s="9">
        <v>0</v>
      </c>
      <c r="Y1070" s="9">
        <v>0</v>
      </c>
      <c r="Z1070" s="9">
        <v>76</v>
      </c>
      <c r="AA1070" s="9">
        <v>0</v>
      </c>
    </row>
    <row r="1071" spans="1:27" x14ac:dyDescent="0.25">
      <c r="A1071" s="9" t="s">
        <v>40</v>
      </c>
      <c r="B1071" s="9" t="s">
        <v>32</v>
      </c>
      <c r="D1071" s="9">
        <v>0</v>
      </c>
      <c r="E1071" s="9">
        <v>0</v>
      </c>
      <c r="F1071" s="9">
        <v>0</v>
      </c>
      <c r="G1071" s="9">
        <v>0</v>
      </c>
      <c r="H1071" s="9">
        <v>4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16</v>
      </c>
      <c r="U1071" s="9">
        <v>44</v>
      </c>
      <c r="V1071" s="9">
        <v>0</v>
      </c>
      <c r="W1071" s="9">
        <v>0</v>
      </c>
      <c r="X1071" s="9">
        <v>0</v>
      </c>
      <c r="Y1071" s="9">
        <v>0</v>
      </c>
      <c r="Z1071" s="9">
        <v>28</v>
      </c>
      <c r="AA1071" s="9">
        <v>8</v>
      </c>
    </row>
    <row r="1072" spans="1:27" x14ac:dyDescent="0.25">
      <c r="A1072" s="9" t="s">
        <v>40</v>
      </c>
      <c r="B1072" s="9" t="s">
        <v>32</v>
      </c>
      <c r="D1072" s="9">
        <v>0</v>
      </c>
      <c r="E1072" s="9">
        <v>0</v>
      </c>
      <c r="F1072" s="9">
        <v>0</v>
      </c>
      <c r="G1072" s="9">
        <v>0</v>
      </c>
      <c r="H1072" s="9">
        <v>8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24</v>
      </c>
      <c r="V1072" s="9">
        <v>0</v>
      </c>
      <c r="W1072" s="9">
        <v>0</v>
      </c>
      <c r="X1072" s="9">
        <v>4</v>
      </c>
      <c r="Y1072" s="9">
        <v>0</v>
      </c>
      <c r="Z1072" s="9">
        <v>60</v>
      </c>
      <c r="AA1072" s="9">
        <v>4</v>
      </c>
    </row>
    <row r="1073" spans="1:27" x14ac:dyDescent="0.25">
      <c r="A1073" s="9" t="s">
        <v>40</v>
      </c>
      <c r="B1073" s="9" t="s">
        <v>32</v>
      </c>
      <c r="D1073" s="9">
        <v>0</v>
      </c>
      <c r="E1073" s="9">
        <v>0</v>
      </c>
      <c r="F1073" s="9">
        <v>0</v>
      </c>
      <c r="G1073" s="9">
        <v>4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  <c r="O1073" s="9">
        <v>0</v>
      </c>
      <c r="P1073" s="9">
        <v>0</v>
      </c>
      <c r="Q1073" s="9">
        <v>4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  <c r="W1073" s="9">
        <v>0</v>
      </c>
      <c r="X1073" s="9">
        <v>8</v>
      </c>
      <c r="Y1073" s="9">
        <v>0</v>
      </c>
      <c r="Z1073" s="9">
        <v>80</v>
      </c>
      <c r="AA1073" s="9">
        <v>4</v>
      </c>
    </row>
    <row r="1074" spans="1:27" x14ac:dyDescent="0.25">
      <c r="A1074" s="9" t="s">
        <v>40</v>
      </c>
      <c r="B1074" s="9" t="s">
        <v>32</v>
      </c>
      <c r="D1074" s="9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20</v>
      </c>
      <c r="V1074" s="9">
        <v>0</v>
      </c>
      <c r="W1074" s="9">
        <v>0</v>
      </c>
      <c r="X1074" s="9">
        <v>0</v>
      </c>
      <c r="Y1074" s="9">
        <v>4</v>
      </c>
      <c r="Z1074" s="9">
        <v>68</v>
      </c>
      <c r="AA1074" s="9">
        <v>8</v>
      </c>
    </row>
    <row r="1075" spans="1:27" x14ac:dyDescent="0.25">
      <c r="A1075" s="9" t="s">
        <v>40</v>
      </c>
      <c r="B1075" s="9" t="s">
        <v>32</v>
      </c>
      <c r="D1075" s="9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16</v>
      </c>
      <c r="U1075" s="9">
        <v>28</v>
      </c>
      <c r="V1075" s="9">
        <v>0</v>
      </c>
      <c r="W1075" s="9">
        <v>0</v>
      </c>
      <c r="X1075" s="9">
        <v>0</v>
      </c>
      <c r="Y1075" s="9">
        <v>4</v>
      </c>
      <c r="Z1075" s="9">
        <v>48</v>
      </c>
      <c r="AA1075" s="9">
        <v>4</v>
      </c>
    </row>
    <row r="1076" spans="1:27" x14ac:dyDescent="0.25">
      <c r="A1076" s="9" t="s">
        <v>40</v>
      </c>
      <c r="B1076" s="9" t="s">
        <v>32</v>
      </c>
      <c r="D1076" s="9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v>0</v>
      </c>
      <c r="R1076" s="9">
        <v>0</v>
      </c>
      <c r="S1076" s="9">
        <v>0</v>
      </c>
      <c r="T1076" s="9">
        <v>4</v>
      </c>
      <c r="U1076" s="9">
        <v>20</v>
      </c>
      <c r="V1076" s="9">
        <v>0</v>
      </c>
      <c r="W1076" s="9">
        <v>0</v>
      </c>
      <c r="X1076" s="9">
        <v>4</v>
      </c>
      <c r="Y1076" s="9">
        <v>0</v>
      </c>
      <c r="Z1076" s="9">
        <v>72</v>
      </c>
      <c r="AA1076" s="9">
        <v>0</v>
      </c>
    </row>
    <row r="1077" spans="1:27" s="10" customFormat="1" x14ac:dyDescent="0.25">
      <c r="A1077" s="10" t="s">
        <v>40</v>
      </c>
      <c r="B1077" s="10" t="s">
        <v>32</v>
      </c>
      <c r="C1077" s="10" t="s">
        <v>84</v>
      </c>
      <c r="D1077" s="10">
        <v>0</v>
      </c>
      <c r="E1077" s="10">
        <v>0</v>
      </c>
      <c r="F1077" s="10">
        <v>0</v>
      </c>
      <c r="G1077" s="10">
        <v>0.266666666666667</v>
      </c>
      <c r="H1077" s="10">
        <v>1.3333333333333299</v>
      </c>
      <c r="I1077" s="10">
        <v>0</v>
      </c>
      <c r="J1077" s="10">
        <v>0</v>
      </c>
      <c r="K1077" s="10">
        <v>0.266666666666667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0.266666666666667</v>
      </c>
      <c r="R1077" s="10">
        <v>0.53333333333333299</v>
      </c>
      <c r="S1077" s="10">
        <v>0</v>
      </c>
      <c r="T1077" s="10">
        <v>2.6666666666666701</v>
      </c>
      <c r="U1077" s="10">
        <v>19.733333333333299</v>
      </c>
      <c r="V1077" s="10">
        <v>0</v>
      </c>
      <c r="W1077" s="10">
        <v>0</v>
      </c>
      <c r="X1077" s="10">
        <v>1.6</v>
      </c>
      <c r="Y1077" s="10">
        <v>0.8</v>
      </c>
      <c r="Z1077" s="10">
        <v>68.266666666666694</v>
      </c>
      <c r="AA1077" s="10">
        <v>4.2666666666666702</v>
      </c>
    </row>
    <row r="1078" spans="1:27" s="10" customFormat="1" x14ac:dyDescent="0.25">
      <c r="A1078" s="10" t="s">
        <v>40</v>
      </c>
      <c r="B1078" s="10" t="s">
        <v>32</v>
      </c>
      <c r="C1078" s="10" t="s">
        <v>83</v>
      </c>
      <c r="D1078" s="10">
        <v>0</v>
      </c>
      <c r="E1078" s="10">
        <v>0</v>
      </c>
      <c r="F1078" s="10">
        <v>0</v>
      </c>
      <c r="G1078" s="10">
        <v>1.03279555898864</v>
      </c>
      <c r="H1078" s="10">
        <v>2.8949874578229799</v>
      </c>
      <c r="I1078" s="10">
        <v>0</v>
      </c>
      <c r="J1078" s="10">
        <v>0</v>
      </c>
      <c r="K1078" s="10">
        <v>1.03279555898864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1.03279555898864</v>
      </c>
      <c r="R1078" s="10">
        <v>1.4074631010979901</v>
      </c>
      <c r="S1078" s="10">
        <v>0</v>
      </c>
      <c r="T1078" s="10">
        <v>5.5891050480461804</v>
      </c>
      <c r="U1078" s="10">
        <v>14.1394416270166</v>
      </c>
      <c r="V1078" s="10">
        <v>0</v>
      </c>
      <c r="W1078" s="10">
        <v>0</v>
      </c>
      <c r="X1078" s="10">
        <v>2.5298221281347</v>
      </c>
      <c r="Y1078" s="10">
        <v>1.65615734242165</v>
      </c>
      <c r="Z1078" s="10">
        <v>18.234451954891298</v>
      </c>
      <c r="AA1078" s="10">
        <v>4.6516766050635203</v>
      </c>
    </row>
    <row r="1079" spans="1:27" s="10" customFormat="1" x14ac:dyDescent="0.25">
      <c r="A1079" s="10" t="s">
        <v>40</v>
      </c>
      <c r="B1079" s="10" t="s">
        <v>32</v>
      </c>
      <c r="C1079" s="10" t="s">
        <v>82</v>
      </c>
      <c r="D1079" s="10">
        <v>0</v>
      </c>
      <c r="E1079" s="10">
        <v>0</v>
      </c>
      <c r="F1079" s="10">
        <v>0</v>
      </c>
      <c r="G1079" s="10">
        <v>0</v>
      </c>
      <c r="H1079" s="10">
        <v>0</v>
      </c>
      <c r="I1079" s="10">
        <v>0</v>
      </c>
      <c r="J1079" s="10">
        <v>0</v>
      </c>
      <c r="K1079" s="10">
        <v>0</v>
      </c>
      <c r="L1079" s="10">
        <v>0</v>
      </c>
      <c r="M1079" s="10">
        <v>0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20</v>
      </c>
      <c r="V1079" s="10">
        <v>0</v>
      </c>
      <c r="W1079" s="10">
        <v>0</v>
      </c>
      <c r="X1079" s="10">
        <v>0</v>
      </c>
      <c r="Y1079" s="10">
        <v>0</v>
      </c>
      <c r="Z1079" s="10">
        <v>72</v>
      </c>
      <c r="AA1079" s="10">
        <v>4</v>
      </c>
    </row>
    <row r="1080" spans="1:27" s="10" customFormat="1" x14ac:dyDescent="0.25">
      <c r="A1080" s="10" t="s">
        <v>40</v>
      </c>
      <c r="B1080" s="10" t="s">
        <v>32</v>
      </c>
      <c r="C1080" s="10" t="s">
        <v>81</v>
      </c>
      <c r="D1080" s="10">
        <v>0</v>
      </c>
      <c r="E1080" s="10">
        <v>0</v>
      </c>
      <c r="F1080" s="10">
        <v>0</v>
      </c>
      <c r="G1080" s="10">
        <v>0</v>
      </c>
      <c r="H1080" s="10">
        <v>0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6</v>
      </c>
      <c r="V1080" s="10">
        <v>0</v>
      </c>
      <c r="W1080" s="10">
        <v>0</v>
      </c>
      <c r="X1080" s="10">
        <v>0</v>
      </c>
      <c r="Y1080" s="10">
        <v>0</v>
      </c>
      <c r="Z1080" s="10">
        <v>56</v>
      </c>
      <c r="AA1080" s="10">
        <v>0</v>
      </c>
    </row>
    <row r="1081" spans="1:27" s="10" customFormat="1" x14ac:dyDescent="0.25">
      <c r="A1081" s="10" t="s">
        <v>40</v>
      </c>
      <c r="B1081" s="10" t="s">
        <v>32</v>
      </c>
      <c r="C1081" s="10" t="s">
        <v>80</v>
      </c>
      <c r="D1081" s="10">
        <v>0</v>
      </c>
      <c r="E1081" s="10">
        <v>0</v>
      </c>
      <c r="F1081" s="10">
        <v>0</v>
      </c>
      <c r="G1081" s="10">
        <v>0</v>
      </c>
      <c r="H1081" s="10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2</v>
      </c>
      <c r="U1081" s="10">
        <v>26</v>
      </c>
      <c r="V1081" s="10">
        <v>0</v>
      </c>
      <c r="W1081" s="10">
        <v>0</v>
      </c>
      <c r="X1081" s="10">
        <v>4</v>
      </c>
      <c r="Y1081" s="10">
        <v>0</v>
      </c>
      <c r="Z1081" s="10">
        <v>82</v>
      </c>
      <c r="AA1081" s="10">
        <v>8</v>
      </c>
    </row>
    <row r="1082" spans="1:27" x14ac:dyDescent="0.25">
      <c r="A1082" s="9" t="s">
        <v>41</v>
      </c>
      <c r="B1082" s="9" t="s">
        <v>27</v>
      </c>
      <c r="D1082" s="9">
        <v>0</v>
      </c>
      <c r="E1082" s="9">
        <v>0</v>
      </c>
      <c r="F1082" s="9">
        <v>0</v>
      </c>
      <c r="G1082" s="9">
        <v>4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4</v>
      </c>
      <c r="R1082" s="9">
        <v>4</v>
      </c>
      <c r="S1082" s="9">
        <v>0</v>
      </c>
      <c r="T1082" s="9">
        <v>0</v>
      </c>
      <c r="U1082" s="9">
        <v>4</v>
      </c>
      <c r="V1082" s="9">
        <v>0</v>
      </c>
      <c r="W1082" s="9">
        <v>0</v>
      </c>
      <c r="X1082" s="9">
        <v>8</v>
      </c>
      <c r="Y1082" s="9">
        <v>8</v>
      </c>
      <c r="Z1082" s="9">
        <v>68</v>
      </c>
      <c r="AA1082" s="9">
        <v>0</v>
      </c>
    </row>
    <row r="1083" spans="1:27" x14ac:dyDescent="0.25">
      <c r="A1083" s="9" t="s">
        <v>41</v>
      </c>
      <c r="B1083" s="9" t="s">
        <v>27</v>
      </c>
      <c r="D1083" s="9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9">
        <v>0</v>
      </c>
      <c r="X1083" s="9">
        <v>4</v>
      </c>
      <c r="Y1083" s="9">
        <v>20</v>
      </c>
      <c r="Z1083" s="9">
        <v>76</v>
      </c>
      <c r="AA1083" s="9">
        <v>0</v>
      </c>
    </row>
    <row r="1084" spans="1:27" x14ac:dyDescent="0.25">
      <c r="A1084" s="9" t="s">
        <v>41</v>
      </c>
      <c r="B1084" s="9" t="s">
        <v>27</v>
      </c>
      <c r="D1084" s="9">
        <v>0</v>
      </c>
      <c r="E1084" s="9">
        <v>0</v>
      </c>
      <c r="F1084" s="9">
        <v>0</v>
      </c>
      <c r="G1084" s="9">
        <v>12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9">
        <v>12</v>
      </c>
      <c r="Y1084" s="9">
        <v>0</v>
      </c>
      <c r="Z1084" s="9">
        <v>72</v>
      </c>
      <c r="AA1084" s="9">
        <v>4</v>
      </c>
    </row>
    <row r="1085" spans="1:27" x14ac:dyDescent="0.25">
      <c r="A1085" s="9" t="s">
        <v>41</v>
      </c>
      <c r="B1085" s="9" t="s">
        <v>27</v>
      </c>
      <c r="D1085" s="9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4</v>
      </c>
      <c r="S1085" s="9">
        <v>0</v>
      </c>
      <c r="T1085" s="9">
        <v>0</v>
      </c>
      <c r="U1085" s="9">
        <v>0</v>
      </c>
      <c r="V1085" s="9">
        <v>0</v>
      </c>
      <c r="W1085" s="9">
        <v>0</v>
      </c>
      <c r="X1085" s="9">
        <v>0</v>
      </c>
      <c r="Y1085" s="9">
        <v>0</v>
      </c>
      <c r="Z1085" s="9">
        <v>88</v>
      </c>
      <c r="AA1085" s="9">
        <v>8</v>
      </c>
    </row>
    <row r="1086" spans="1:27" x14ac:dyDescent="0.25">
      <c r="A1086" s="9" t="s">
        <v>41</v>
      </c>
      <c r="B1086" s="9" t="s">
        <v>27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v>0</v>
      </c>
      <c r="R1086" s="9">
        <v>4</v>
      </c>
      <c r="S1086" s="9">
        <v>0</v>
      </c>
      <c r="T1086" s="9">
        <v>0</v>
      </c>
      <c r="U1086" s="9">
        <v>0</v>
      </c>
      <c r="V1086" s="9">
        <v>0</v>
      </c>
      <c r="W1086" s="9">
        <v>0</v>
      </c>
      <c r="X1086" s="9">
        <v>20</v>
      </c>
      <c r="Y1086" s="9">
        <v>4</v>
      </c>
      <c r="Z1086" s="9">
        <v>64</v>
      </c>
      <c r="AA1086" s="9">
        <v>8</v>
      </c>
    </row>
    <row r="1087" spans="1:27" x14ac:dyDescent="0.25">
      <c r="A1087" s="9" t="s">
        <v>41</v>
      </c>
      <c r="B1087" s="9" t="s">
        <v>27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12</v>
      </c>
      <c r="Y1087" s="9">
        <v>0</v>
      </c>
      <c r="Z1087" s="9">
        <v>88</v>
      </c>
      <c r="AA1087" s="9">
        <v>0</v>
      </c>
    </row>
    <row r="1088" spans="1:27" x14ac:dyDescent="0.25">
      <c r="A1088" s="9" t="s">
        <v>41</v>
      </c>
      <c r="B1088" s="9" t="s">
        <v>27</v>
      </c>
      <c r="D1088" s="9">
        <v>0</v>
      </c>
      <c r="E1088" s="9">
        <v>0</v>
      </c>
      <c r="F1088" s="9">
        <v>0</v>
      </c>
      <c r="G1088" s="9">
        <v>4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8</v>
      </c>
      <c r="N1088" s="9">
        <v>4</v>
      </c>
      <c r="O1088" s="9">
        <v>4</v>
      </c>
      <c r="P1088" s="9">
        <v>0</v>
      </c>
      <c r="Q1088" s="9">
        <v>0</v>
      </c>
      <c r="R1088" s="9">
        <v>4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4</v>
      </c>
      <c r="Y1088" s="9">
        <v>0</v>
      </c>
      <c r="Z1088" s="9">
        <v>72</v>
      </c>
      <c r="AA1088" s="9">
        <v>0</v>
      </c>
    </row>
    <row r="1089" spans="1:27" x14ac:dyDescent="0.25">
      <c r="A1089" s="9" t="s">
        <v>41</v>
      </c>
      <c r="B1089" s="9" t="s">
        <v>27</v>
      </c>
      <c r="D1089" s="9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4</v>
      </c>
      <c r="O1089" s="9">
        <v>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9">
        <v>0</v>
      </c>
      <c r="X1089" s="9">
        <v>4</v>
      </c>
      <c r="Y1089" s="9">
        <v>0</v>
      </c>
      <c r="Z1089" s="9">
        <v>92</v>
      </c>
      <c r="AA1089" s="9">
        <v>0</v>
      </c>
    </row>
    <row r="1090" spans="1:27" x14ac:dyDescent="0.25">
      <c r="A1090" s="9" t="s">
        <v>41</v>
      </c>
      <c r="B1090" s="9" t="s">
        <v>27</v>
      </c>
      <c r="D1090" s="9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  <c r="O1090" s="9">
        <v>0</v>
      </c>
      <c r="P1090" s="9">
        <v>0</v>
      </c>
      <c r="Q1090" s="9">
        <v>0</v>
      </c>
      <c r="R1090" s="9">
        <v>12</v>
      </c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9">
        <v>8</v>
      </c>
      <c r="Y1090" s="9">
        <v>12</v>
      </c>
      <c r="Z1090" s="9">
        <v>68</v>
      </c>
      <c r="AA1090" s="9">
        <v>0</v>
      </c>
    </row>
    <row r="1091" spans="1:27" x14ac:dyDescent="0.25">
      <c r="A1091" s="9" t="s">
        <v>41</v>
      </c>
      <c r="B1091" s="9" t="s">
        <v>27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0</v>
      </c>
      <c r="O1091" s="9">
        <v>0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9">
        <v>0</v>
      </c>
      <c r="X1091" s="9">
        <v>8</v>
      </c>
      <c r="Y1091" s="9">
        <v>12</v>
      </c>
      <c r="Z1091" s="9">
        <v>76</v>
      </c>
      <c r="AA1091" s="9">
        <v>4</v>
      </c>
    </row>
    <row r="1092" spans="1:27" x14ac:dyDescent="0.25">
      <c r="A1092" s="9" t="s">
        <v>41</v>
      </c>
      <c r="B1092" s="9" t="s">
        <v>27</v>
      </c>
      <c r="D1092" s="9">
        <v>0</v>
      </c>
      <c r="E1092" s="9">
        <v>0</v>
      </c>
      <c r="F1092" s="9">
        <v>0</v>
      </c>
      <c r="G1092" s="9">
        <v>4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4</v>
      </c>
      <c r="P1092" s="9">
        <v>0</v>
      </c>
      <c r="Q1092" s="9">
        <v>0</v>
      </c>
      <c r="R1092" s="9">
        <v>4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16</v>
      </c>
      <c r="Y1092" s="9">
        <v>8</v>
      </c>
      <c r="Z1092" s="9">
        <v>64</v>
      </c>
      <c r="AA1092" s="9">
        <v>0</v>
      </c>
    </row>
    <row r="1093" spans="1:27" x14ac:dyDescent="0.25">
      <c r="A1093" s="9" t="s">
        <v>41</v>
      </c>
      <c r="B1093" s="9" t="s">
        <v>27</v>
      </c>
      <c r="D1093" s="9">
        <v>0</v>
      </c>
      <c r="E1093" s="9">
        <v>0</v>
      </c>
      <c r="F1093" s="9">
        <v>0</v>
      </c>
      <c r="G1093" s="9">
        <v>4</v>
      </c>
      <c r="H1093" s="9">
        <v>0</v>
      </c>
      <c r="I1093" s="9">
        <v>0</v>
      </c>
      <c r="J1093" s="9">
        <v>4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0</v>
      </c>
      <c r="R1093" s="9">
        <v>4</v>
      </c>
      <c r="S1093" s="9">
        <v>0</v>
      </c>
      <c r="T1093" s="9">
        <v>0</v>
      </c>
      <c r="U1093" s="9">
        <v>0</v>
      </c>
      <c r="V1093" s="9">
        <v>0</v>
      </c>
      <c r="W1093" s="9">
        <v>0</v>
      </c>
      <c r="X1093" s="9">
        <v>20</v>
      </c>
      <c r="Y1093" s="9">
        <v>4</v>
      </c>
      <c r="Z1093" s="9">
        <v>64</v>
      </c>
      <c r="AA1093" s="9">
        <v>0</v>
      </c>
    </row>
    <row r="1094" spans="1:27" x14ac:dyDescent="0.25">
      <c r="A1094" s="9" t="s">
        <v>41</v>
      </c>
      <c r="B1094" s="9" t="s">
        <v>27</v>
      </c>
      <c r="D1094" s="9">
        <v>0</v>
      </c>
      <c r="E1094" s="9">
        <v>0</v>
      </c>
      <c r="F1094" s="9">
        <v>0</v>
      </c>
      <c r="G1094" s="9">
        <v>4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P1094" s="9">
        <v>0</v>
      </c>
      <c r="Q1094" s="9">
        <v>0</v>
      </c>
      <c r="R1094" s="9">
        <v>4</v>
      </c>
      <c r="S1094" s="9">
        <v>0</v>
      </c>
      <c r="T1094" s="9">
        <v>0</v>
      </c>
      <c r="U1094" s="9">
        <v>0</v>
      </c>
      <c r="V1094" s="9">
        <v>0</v>
      </c>
      <c r="W1094" s="9">
        <v>0</v>
      </c>
      <c r="X1094" s="9">
        <v>24</v>
      </c>
      <c r="Y1094" s="9">
        <v>4</v>
      </c>
      <c r="Z1094" s="9">
        <v>64</v>
      </c>
      <c r="AA1094" s="9">
        <v>0</v>
      </c>
    </row>
    <row r="1095" spans="1:27" x14ac:dyDescent="0.25">
      <c r="A1095" s="9" t="s">
        <v>41</v>
      </c>
      <c r="B1095" s="9" t="s">
        <v>27</v>
      </c>
      <c r="D1095" s="9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4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4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8</v>
      </c>
      <c r="Y1095" s="9">
        <v>0</v>
      </c>
      <c r="Z1095" s="9">
        <v>80</v>
      </c>
      <c r="AA1095" s="9">
        <v>4</v>
      </c>
    </row>
    <row r="1096" spans="1:27" x14ac:dyDescent="0.25">
      <c r="A1096" s="9" t="s">
        <v>41</v>
      </c>
      <c r="B1096" s="9" t="s">
        <v>27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0</v>
      </c>
      <c r="O1096" s="9">
        <v>24</v>
      </c>
      <c r="P1096" s="9">
        <v>0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0</v>
      </c>
      <c r="Z1096" s="9">
        <v>76</v>
      </c>
      <c r="AA1096" s="9">
        <v>0</v>
      </c>
    </row>
    <row r="1097" spans="1:27" s="10" customFormat="1" x14ac:dyDescent="0.25">
      <c r="A1097" s="10" t="s">
        <v>41</v>
      </c>
      <c r="B1097" s="10" t="s">
        <v>27</v>
      </c>
      <c r="C1097" s="10" t="s">
        <v>84</v>
      </c>
      <c r="D1097" s="10">
        <v>0</v>
      </c>
      <c r="E1097" s="10">
        <v>0</v>
      </c>
      <c r="F1097" s="10">
        <v>0</v>
      </c>
      <c r="G1097" s="10">
        <v>2.1333333333333302</v>
      </c>
      <c r="H1097" s="10">
        <v>0</v>
      </c>
      <c r="I1097" s="10">
        <v>0</v>
      </c>
      <c r="J1097" s="10">
        <v>0.266666666666667</v>
      </c>
      <c r="K1097" s="10">
        <v>0</v>
      </c>
      <c r="L1097" s="10">
        <v>0.266666666666667</v>
      </c>
      <c r="M1097" s="10">
        <v>0.53333333333333299</v>
      </c>
      <c r="N1097" s="10">
        <v>0.53333333333333299</v>
      </c>
      <c r="O1097" s="10">
        <v>2.1333333333333302</v>
      </c>
      <c r="P1097" s="10">
        <v>0</v>
      </c>
      <c r="Q1097" s="10">
        <v>0.266666666666667</v>
      </c>
      <c r="R1097" s="10">
        <v>2.93333333333333</v>
      </c>
      <c r="S1097" s="10">
        <v>0</v>
      </c>
      <c r="T1097" s="10">
        <v>0</v>
      </c>
      <c r="U1097" s="10">
        <v>0.266666666666667</v>
      </c>
      <c r="V1097" s="10">
        <v>0</v>
      </c>
      <c r="W1097" s="10">
        <v>0</v>
      </c>
      <c r="X1097" s="10">
        <v>9.8666666666666707</v>
      </c>
      <c r="Y1097" s="10">
        <v>4.8</v>
      </c>
      <c r="Z1097" s="10">
        <v>74.133333333333297</v>
      </c>
      <c r="AA1097" s="10">
        <v>1.86666666666667</v>
      </c>
    </row>
    <row r="1098" spans="1:27" s="10" customFormat="1" x14ac:dyDescent="0.25">
      <c r="A1098" s="10" t="s">
        <v>41</v>
      </c>
      <c r="B1098" s="10" t="s">
        <v>27</v>
      </c>
      <c r="C1098" s="10" t="s">
        <v>83</v>
      </c>
      <c r="D1098" s="10">
        <v>0</v>
      </c>
      <c r="E1098" s="10">
        <v>0</v>
      </c>
      <c r="F1098" s="10">
        <v>0</v>
      </c>
      <c r="G1098" s="10">
        <v>3.3352375513311698</v>
      </c>
      <c r="H1098" s="10">
        <v>0</v>
      </c>
      <c r="I1098" s="10">
        <v>0</v>
      </c>
      <c r="J1098" s="10">
        <v>1.03279555898864</v>
      </c>
      <c r="K1098" s="10">
        <v>0</v>
      </c>
      <c r="L1098" s="10">
        <v>1.03279555898864</v>
      </c>
      <c r="M1098" s="10">
        <v>2.0655911179772901</v>
      </c>
      <c r="N1098" s="10">
        <v>1.4074631010979901</v>
      </c>
      <c r="O1098" s="10">
        <v>6.20905636569527</v>
      </c>
      <c r="P1098" s="10">
        <v>0</v>
      </c>
      <c r="Q1098" s="10">
        <v>1.03279555898864</v>
      </c>
      <c r="R1098" s="10">
        <v>3.1952345468719199</v>
      </c>
      <c r="S1098" s="10">
        <v>0</v>
      </c>
      <c r="T1098" s="10">
        <v>0</v>
      </c>
      <c r="U1098" s="10">
        <v>1.03279555898864</v>
      </c>
      <c r="V1098" s="10">
        <v>0</v>
      </c>
      <c r="W1098" s="10">
        <v>0</v>
      </c>
      <c r="X1098" s="10">
        <v>7.3859583638402002</v>
      </c>
      <c r="Y1098" s="10">
        <v>6.0851106340453196</v>
      </c>
      <c r="Z1098" s="10">
        <v>9.4253962907718201</v>
      </c>
      <c r="AA1098" s="10">
        <v>2.9728934118288302</v>
      </c>
    </row>
    <row r="1099" spans="1:27" s="10" customFormat="1" x14ac:dyDescent="0.25">
      <c r="A1099" s="10" t="s">
        <v>41</v>
      </c>
      <c r="B1099" s="10" t="s">
        <v>27</v>
      </c>
      <c r="C1099" s="10" t="s">
        <v>82</v>
      </c>
      <c r="D1099" s="10">
        <v>0</v>
      </c>
      <c r="E1099" s="10">
        <v>0</v>
      </c>
      <c r="F1099" s="10">
        <v>0</v>
      </c>
      <c r="G1099" s="10">
        <v>0</v>
      </c>
      <c r="H1099" s="10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4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8</v>
      </c>
      <c r="Y1099" s="10">
        <v>4</v>
      </c>
      <c r="Z1099" s="10">
        <v>72</v>
      </c>
      <c r="AA1099" s="10">
        <v>0</v>
      </c>
    </row>
    <row r="1100" spans="1:27" s="10" customFormat="1" x14ac:dyDescent="0.25">
      <c r="A1100" s="10" t="s">
        <v>41</v>
      </c>
      <c r="B1100" s="10" t="s">
        <v>27</v>
      </c>
      <c r="C1100" s="10" t="s">
        <v>81</v>
      </c>
      <c r="D1100" s="10">
        <v>0</v>
      </c>
      <c r="E1100" s="10">
        <v>0</v>
      </c>
      <c r="F1100" s="10">
        <v>0</v>
      </c>
      <c r="G1100" s="10">
        <v>0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4</v>
      </c>
      <c r="Y1100" s="10">
        <v>0</v>
      </c>
      <c r="Z1100" s="10">
        <v>66</v>
      </c>
      <c r="AA1100" s="10">
        <v>0</v>
      </c>
    </row>
    <row r="1101" spans="1:27" s="10" customFormat="1" x14ac:dyDescent="0.25">
      <c r="A1101" s="10" t="s">
        <v>41</v>
      </c>
      <c r="B1101" s="10" t="s">
        <v>27</v>
      </c>
      <c r="C1101" s="10" t="s">
        <v>80</v>
      </c>
      <c r="D1101" s="10">
        <v>0</v>
      </c>
      <c r="E1101" s="10">
        <v>0</v>
      </c>
      <c r="F1101" s="10">
        <v>0</v>
      </c>
      <c r="G1101" s="10">
        <v>4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4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14</v>
      </c>
      <c r="Y1101" s="10">
        <v>8</v>
      </c>
      <c r="Z1101" s="10">
        <v>78</v>
      </c>
      <c r="AA1101" s="10">
        <v>4</v>
      </c>
    </row>
    <row r="1102" spans="1:27" x14ac:dyDescent="0.25">
      <c r="A1102" s="9" t="s">
        <v>41</v>
      </c>
      <c r="B1102" s="9" t="s">
        <v>28</v>
      </c>
      <c r="D1102" s="9">
        <v>0</v>
      </c>
      <c r="E1102" s="9">
        <v>0</v>
      </c>
      <c r="F1102" s="9">
        <v>0</v>
      </c>
      <c r="G1102" s="9">
        <v>4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  <c r="O1102" s="9">
        <v>4</v>
      </c>
      <c r="P1102" s="9">
        <v>0</v>
      </c>
      <c r="Q1102" s="9">
        <v>0</v>
      </c>
      <c r="R1102" s="9">
        <v>4</v>
      </c>
      <c r="S1102" s="9">
        <v>0</v>
      </c>
      <c r="T1102" s="9">
        <v>0</v>
      </c>
      <c r="U1102" s="9">
        <v>4</v>
      </c>
      <c r="V1102" s="9">
        <v>0</v>
      </c>
      <c r="W1102" s="9">
        <v>0</v>
      </c>
      <c r="X1102" s="9">
        <v>0</v>
      </c>
      <c r="Y1102" s="9">
        <v>8</v>
      </c>
      <c r="Z1102" s="9">
        <v>76</v>
      </c>
      <c r="AA1102" s="9">
        <v>0</v>
      </c>
    </row>
    <row r="1103" spans="1:27" x14ac:dyDescent="0.25">
      <c r="A1103" s="9" t="s">
        <v>41</v>
      </c>
      <c r="B1103" s="9" t="s">
        <v>28</v>
      </c>
      <c r="D1103" s="9">
        <v>0</v>
      </c>
      <c r="E1103" s="9">
        <v>0</v>
      </c>
      <c r="F1103" s="9">
        <v>0</v>
      </c>
      <c r="G1103" s="9">
        <v>12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  <c r="O1103" s="9">
        <v>0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0</v>
      </c>
      <c r="X1103" s="9">
        <v>4</v>
      </c>
      <c r="Y1103" s="9">
        <v>4</v>
      </c>
      <c r="Z1103" s="9">
        <v>80</v>
      </c>
      <c r="AA1103" s="9">
        <v>0</v>
      </c>
    </row>
    <row r="1104" spans="1:27" x14ac:dyDescent="0.25">
      <c r="A1104" s="9" t="s">
        <v>41</v>
      </c>
      <c r="B1104" s="9" t="s">
        <v>28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4</v>
      </c>
      <c r="J1104" s="9">
        <v>0</v>
      </c>
      <c r="K1104" s="9">
        <v>0</v>
      </c>
      <c r="L1104" s="9">
        <v>8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4</v>
      </c>
      <c r="S1104" s="9">
        <v>0</v>
      </c>
      <c r="T1104" s="9">
        <v>0</v>
      </c>
      <c r="U1104" s="9">
        <v>0</v>
      </c>
      <c r="V1104" s="9">
        <v>0</v>
      </c>
      <c r="W1104" s="9">
        <v>0</v>
      </c>
      <c r="X1104" s="9">
        <v>4</v>
      </c>
      <c r="Y1104" s="9">
        <v>0</v>
      </c>
      <c r="Z1104" s="9">
        <v>80</v>
      </c>
      <c r="AA1104" s="9">
        <v>0</v>
      </c>
    </row>
    <row r="1105" spans="1:27" x14ac:dyDescent="0.25">
      <c r="A1105" s="9" t="s">
        <v>41</v>
      </c>
      <c r="B1105" s="9" t="s">
        <v>28</v>
      </c>
      <c r="D1105" s="9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4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  <c r="O1105" s="9">
        <v>12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  <c r="W1105" s="9">
        <v>0</v>
      </c>
      <c r="X1105" s="9">
        <v>0</v>
      </c>
      <c r="Y1105" s="9">
        <v>0</v>
      </c>
      <c r="Z1105" s="9">
        <v>84</v>
      </c>
      <c r="AA1105" s="9">
        <v>0</v>
      </c>
    </row>
    <row r="1106" spans="1:27" x14ac:dyDescent="0.25">
      <c r="A1106" s="9" t="s">
        <v>41</v>
      </c>
      <c r="B1106" s="9" t="s">
        <v>28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8</v>
      </c>
      <c r="P1106" s="9">
        <v>0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  <c r="W1106" s="9">
        <v>0</v>
      </c>
      <c r="X1106" s="9">
        <v>0</v>
      </c>
      <c r="Y1106" s="9">
        <v>8</v>
      </c>
      <c r="Z1106" s="9">
        <v>84</v>
      </c>
      <c r="AA1106" s="9">
        <v>0</v>
      </c>
    </row>
    <row r="1107" spans="1:27" x14ac:dyDescent="0.25">
      <c r="A1107" s="9" t="s">
        <v>41</v>
      </c>
      <c r="B1107" s="9" t="s">
        <v>28</v>
      </c>
      <c r="D1107" s="9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16</v>
      </c>
      <c r="M1107" s="9">
        <v>0</v>
      </c>
      <c r="N1107" s="9">
        <v>0</v>
      </c>
      <c r="O1107" s="9">
        <v>0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  <c r="W1107" s="9">
        <v>0</v>
      </c>
      <c r="X1107" s="9">
        <v>4</v>
      </c>
      <c r="Y1107" s="9">
        <v>4</v>
      </c>
      <c r="Z1107" s="9">
        <v>76</v>
      </c>
      <c r="AA1107" s="9">
        <v>0</v>
      </c>
    </row>
    <row r="1108" spans="1:27" x14ac:dyDescent="0.25">
      <c r="A1108" s="9" t="s">
        <v>41</v>
      </c>
      <c r="B1108" s="9" t="s">
        <v>28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16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4</v>
      </c>
      <c r="S1108" s="9">
        <v>0</v>
      </c>
      <c r="T1108" s="9">
        <v>0</v>
      </c>
      <c r="U1108" s="9">
        <v>0</v>
      </c>
      <c r="V1108" s="9">
        <v>0</v>
      </c>
      <c r="W1108" s="9">
        <v>0</v>
      </c>
      <c r="X1108" s="9">
        <v>0</v>
      </c>
      <c r="Y1108" s="9">
        <v>8</v>
      </c>
      <c r="Z1108" s="9">
        <v>68</v>
      </c>
      <c r="AA1108" s="9">
        <v>4</v>
      </c>
    </row>
    <row r="1109" spans="1:27" x14ac:dyDescent="0.25">
      <c r="A1109" s="9" t="s">
        <v>41</v>
      </c>
      <c r="B1109" s="9" t="s">
        <v>28</v>
      </c>
      <c r="D1109" s="9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8</v>
      </c>
      <c r="M1109" s="9">
        <v>0</v>
      </c>
      <c r="N1109" s="9">
        <v>0</v>
      </c>
      <c r="O1109" s="9">
        <v>0</v>
      </c>
      <c r="P1109" s="9">
        <v>0</v>
      </c>
      <c r="Q1109" s="9">
        <v>0</v>
      </c>
      <c r="R1109" s="9">
        <v>4</v>
      </c>
      <c r="S1109" s="9">
        <v>0</v>
      </c>
      <c r="T1109" s="9">
        <v>0</v>
      </c>
      <c r="U1109" s="9">
        <v>0</v>
      </c>
      <c r="V1109" s="9">
        <v>0</v>
      </c>
      <c r="W1109" s="9">
        <v>0</v>
      </c>
      <c r="X1109" s="9">
        <v>4</v>
      </c>
      <c r="Y1109" s="9">
        <v>0</v>
      </c>
      <c r="Z1109" s="9">
        <v>80</v>
      </c>
      <c r="AA1109" s="9">
        <v>4</v>
      </c>
    </row>
    <row r="1110" spans="1:27" x14ac:dyDescent="0.25">
      <c r="A1110" s="9" t="s">
        <v>41</v>
      </c>
      <c r="B1110" s="9" t="s">
        <v>28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  <c r="Q1110" s="9">
        <v>0</v>
      </c>
      <c r="R1110" s="9">
        <v>4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4</v>
      </c>
      <c r="Y1110" s="9">
        <v>4</v>
      </c>
      <c r="Z1110" s="9">
        <v>80</v>
      </c>
      <c r="AA1110" s="9">
        <v>8</v>
      </c>
    </row>
    <row r="1111" spans="1:27" x14ac:dyDescent="0.25">
      <c r="A1111" s="9" t="s">
        <v>41</v>
      </c>
      <c r="B1111" s="9" t="s">
        <v>28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8</v>
      </c>
      <c r="M1111" s="9">
        <v>0</v>
      </c>
      <c r="N1111" s="9">
        <v>0</v>
      </c>
      <c r="O1111" s="9">
        <v>0</v>
      </c>
      <c r="P1111" s="9">
        <v>0</v>
      </c>
      <c r="Q1111" s="9">
        <v>0</v>
      </c>
      <c r="R1111" s="9">
        <v>4</v>
      </c>
      <c r="S1111" s="9">
        <v>0</v>
      </c>
      <c r="T1111" s="9">
        <v>0</v>
      </c>
      <c r="U1111" s="9">
        <v>4</v>
      </c>
      <c r="V1111" s="9">
        <v>0</v>
      </c>
      <c r="W1111" s="9">
        <v>0</v>
      </c>
      <c r="X1111" s="9">
        <v>4</v>
      </c>
      <c r="Y1111" s="9">
        <v>0</v>
      </c>
      <c r="Z1111" s="9">
        <v>68</v>
      </c>
      <c r="AA1111" s="9">
        <v>12</v>
      </c>
    </row>
    <row r="1112" spans="1:27" x14ac:dyDescent="0.25">
      <c r="A1112" s="9" t="s">
        <v>41</v>
      </c>
      <c r="B1112" s="9" t="s">
        <v>28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12</v>
      </c>
      <c r="V1112" s="9">
        <v>0</v>
      </c>
      <c r="W1112" s="9">
        <v>0</v>
      </c>
      <c r="X1112" s="9">
        <v>4</v>
      </c>
      <c r="Y1112" s="9">
        <v>0</v>
      </c>
      <c r="Z1112" s="9">
        <v>84</v>
      </c>
      <c r="AA1112" s="9">
        <v>0</v>
      </c>
    </row>
    <row r="1113" spans="1:27" x14ac:dyDescent="0.25">
      <c r="A1113" s="9" t="s">
        <v>41</v>
      </c>
      <c r="B1113" s="9" t="s">
        <v>28</v>
      </c>
      <c r="D1113" s="9">
        <v>0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12</v>
      </c>
      <c r="M1113" s="9">
        <v>0</v>
      </c>
      <c r="N1113" s="9">
        <v>0</v>
      </c>
      <c r="O1113" s="9">
        <v>0</v>
      </c>
      <c r="P1113" s="9">
        <v>0</v>
      </c>
      <c r="Q1113" s="9">
        <v>0</v>
      </c>
      <c r="R1113" s="9">
        <v>4</v>
      </c>
      <c r="S1113" s="9">
        <v>0</v>
      </c>
      <c r="T1113" s="9">
        <v>0</v>
      </c>
      <c r="U1113" s="9">
        <v>4</v>
      </c>
      <c r="V1113" s="9">
        <v>0</v>
      </c>
      <c r="W1113" s="9">
        <v>0</v>
      </c>
      <c r="X1113" s="9">
        <v>24</v>
      </c>
      <c r="Y1113" s="9">
        <v>12</v>
      </c>
      <c r="Z1113" s="9">
        <v>40</v>
      </c>
      <c r="AA1113" s="9">
        <v>4</v>
      </c>
    </row>
    <row r="1114" spans="1:27" x14ac:dyDescent="0.25">
      <c r="A1114" s="9" t="s">
        <v>41</v>
      </c>
      <c r="B1114" s="9" t="s">
        <v>28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56</v>
      </c>
      <c r="M1114" s="9">
        <v>0</v>
      </c>
      <c r="N1114" s="9">
        <v>0</v>
      </c>
      <c r="O1114" s="9">
        <v>0</v>
      </c>
      <c r="P1114" s="9">
        <v>0</v>
      </c>
      <c r="Q1114" s="9">
        <v>0</v>
      </c>
      <c r="R1114" s="9">
        <v>0</v>
      </c>
      <c r="S1114" s="9">
        <v>0</v>
      </c>
      <c r="T1114" s="9">
        <v>0</v>
      </c>
      <c r="U1114" s="9">
        <v>0</v>
      </c>
      <c r="V1114" s="9">
        <v>0</v>
      </c>
      <c r="W1114" s="9">
        <v>0</v>
      </c>
      <c r="X1114" s="9">
        <v>0</v>
      </c>
      <c r="Y1114" s="9">
        <v>0</v>
      </c>
      <c r="Z1114" s="9">
        <v>44</v>
      </c>
      <c r="AA1114" s="9">
        <v>0</v>
      </c>
    </row>
    <row r="1115" spans="1:27" x14ac:dyDescent="0.25">
      <c r="A1115" s="9" t="s">
        <v>41</v>
      </c>
      <c r="B1115" s="9" t="s">
        <v>28</v>
      </c>
      <c r="D1115" s="9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4</v>
      </c>
      <c r="K1115" s="9">
        <v>0</v>
      </c>
      <c r="L1115" s="9">
        <v>40</v>
      </c>
      <c r="M1115" s="9">
        <v>0</v>
      </c>
      <c r="N1115" s="9">
        <v>0</v>
      </c>
      <c r="O1115" s="9">
        <v>0</v>
      </c>
      <c r="P1115" s="9">
        <v>0</v>
      </c>
      <c r="Q1115" s="9">
        <v>0</v>
      </c>
      <c r="R1115" s="9">
        <v>4</v>
      </c>
      <c r="S1115" s="9">
        <v>0</v>
      </c>
      <c r="T1115" s="9">
        <v>0</v>
      </c>
      <c r="U1115" s="9">
        <v>0</v>
      </c>
      <c r="V1115" s="9">
        <v>0</v>
      </c>
      <c r="W1115" s="9">
        <v>0</v>
      </c>
      <c r="X1115" s="9">
        <v>4</v>
      </c>
      <c r="Y1115" s="9">
        <v>0</v>
      </c>
      <c r="Z1115" s="9">
        <v>44</v>
      </c>
      <c r="AA1115" s="9">
        <v>4</v>
      </c>
    </row>
    <row r="1116" spans="1:27" x14ac:dyDescent="0.25">
      <c r="A1116" s="9" t="s">
        <v>41</v>
      </c>
      <c r="B1116" s="9" t="s">
        <v>28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4</v>
      </c>
      <c r="V1116" s="9">
        <v>0</v>
      </c>
      <c r="W1116" s="9">
        <v>0</v>
      </c>
      <c r="X1116" s="9">
        <v>20</v>
      </c>
      <c r="Y1116" s="9">
        <v>0</v>
      </c>
      <c r="Z1116" s="9">
        <v>68</v>
      </c>
      <c r="AA1116" s="9">
        <v>8</v>
      </c>
    </row>
    <row r="1117" spans="1:27" x14ac:dyDescent="0.25">
      <c r="A1117" s="9" t="s">
        <v>41</v>
      </c>
      <c r="B1117" s="9" t="s">
        <v>28</v>
      </c>
      <c r="D1117" s="9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4</v>
      </c>
      <c r="M1117" s="9">
        <v>0</v>
      </c>
      <c r="N1117" s="9">
        <v>0</v>
      </c>
      <c r="O1117" s="9">
        <v>0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4</v>
      </c>
      <c r="V1117" s="9">
        <v>0</v>
      </c>
      <c r="W1117" s="9">
        <v>0</v>
      </c>
      <c r="X1117" s="9">
        <v>4</v>
      </c>
      <c r="Y1117" s="9">
        <v>0</v>
      </c>
      <c r="Z1117" s="9">
        <v>80</v>
      </c>
      <c r="AA1117" s="9">
        <v>8</v>
      </c>
    </row>
    <row r="1118" spans="1:27" s="10" customFormat="1" x14ac:dyDescent="0.25">
      <c r="A1118" s="10" t="s">
        <v>41</v>
      </c>
      <c r="B1118" s="10" t="s">
        <v>28</v>
      </c>
      <c r="C1118" s="10" t="s">
        <v>84</v>
      </c>
      <c r="D1118" s="10">
        <v>0</v>
      </c>
      <c r="E1118" s="10">
        <v>0</v>
      </c>
      <c r="F1118" s="10">
        <v>0</v>
      </c>
      <c r="G1118" s="10">
        <v>1</v>
      </c>
      <c r="H1118" s="10">
        <v>0</v>
      </c>
      <c r="I1118" s="10">
        <v>0.5</v>
      </c>
      <c r="J1118" s="10">
        <v>0.25</v>
      </c>
      <c r="K1118" s="10">
        <v>0</v>
      </c>
      <c r="L1118" s="10">
        <v>10.5</v>
      </c>
      <c r="M1118" s="10">
        <v>0</v>
      </c>
      <c r="N1118" s="10">
        <v>0</v>
      </c>
      <c r="O1118" s="10">
        <v>1.5</v>
      </c>
      <c r="P1118" s="10">
        <v>0</v>
      </c>
      <c r="Q1118" s="10">
        <v>0</v>
      </c>
      <c r="R1118" s="10">
        <v>2</v>
      </c>
      <c r="S1118" s="10">
        <v>0</v>
      </c>
      <c r="T1118" s="10">
        <v>0</v>
      </c>
      <c r="U1118" s="10">
        <v>2</v>
      </c>
      <c r="V1118" s="10">
        <v>0</v>
      </c>
      <c r="W1118" s="10">
        <v>0</v>
      </c>
      <c r="X1118" s="10">
        <v>5</v>
      </c>
      <c r="Y1118" s="10">
        <v>3</v>
      </c>
      <c r="Z1118" s="10">
        <v>71</v>
      </c>
      <c r="AA1118" s="10">
        <v>3.25</v>
      </c>
    </row>
    <row r="1119" spans="1:27" s="10" customFormat="1" x14ac:dyDescent="0.25">
      <c r="A1119" s="10" t="s">
        <v>41</v>
      </c>
      <c r="B1119" s="10" t="s">
        <v>28</v>
      </c>
      <c r="C1119" s="10" t="s">
        <v>83</v>
      </c>
      <c r="D1119" s="10">
        <v>0</v>
      </c>
      <c r="E1119" s="10">
        <v>0</v>
      </c>
      <c r="F1119" s="10">
        <v>0</v>
      </c>
      <c r="G1119" s="10">
        <v>3.0983866769659301</v>
      </c>
      <c r="H1119" s="10">
        <v>0</v>
      </c>
      <c r="I1119" s="10">
        <v>1.3662601021279499</v>
      </c>
      <c r="J1119" s="10">
        <v>1</v>
      </c>
      <c r="K1119" s="10">
        <v>0</v>
      </c>
      <c r="L1119" s="10">
        <v>15.991664495396799</v>
      </c>
      <c r="M1119" s="10">
        <v>0</v>
      </c>
      <c r="N1119" s="10">
        <v>0</v>
      </c>
      <c r="O1119" s="10">
        <v>3.54024481262713</v>
      </c>
      <c r="P1119" s="10">
        <v>0</v>
      </c>
      <c r="Q1119" s="10">
        <v>0</v>
      </c>
      <c r="R1119" s="10">
        <v>2.0655911179772901</v>
      </c>
      <c r="S1119" s="10">
        <v>0</v>
      </c>
      <c r="T1119" s="10">
        <v>0</v>
      </c>
      <c r="U1119" s="10">
        <v>3.2659863237109001</v>
      </c>
      <c r="V1119" s="10">
        <v>0</v>
      </c>
      <c r="W1119" s="10">
        <v>0</v>
      </c>
      <c r="X1119" s="10">
        <v>6.9282032302755097</v>
      </c>
      <c r="Y1119" s="10">
        <v>4</v>
      </c>
      <c r="Z1119" s="10">
        <v>15.0731549451334</v>
      </c>
      <c r="AA1119" s="10">
        <v>3.9242833740697201</v>
      </c>
    </row>
    <row r="1120" spans="1:27" s="10" customFormat="1" x14ac:dyDescent="0.25">
      <c r="A1120" s="10" t="s">
        <v>41</v>
      </c>
      <c r="B1120" s="10" t="s">
        <v>28</v>
      </c>
      <c r="C1120" s="10" t="s">
        <v>82</v>
      </c>
      <c r="D1120" s="10">
        <v>0</v>
      </c>
      <c r="E1120" s="10">
        <v>0</v>
      </c>
      <c r="F1120" s="10">
        <v>0</v>
      </c>
      <c r="G1120" s="10">
        <v>0</v>
      </c>
      <c r="H1120" s="10">
        <v>0</v>
      </c>
      <c r="I1120" s="10">
        <v>0</v>
      </c>
      <c r="J1120" s="10">
        <v>0</v>
      </c>
      <c r="K1120" s="10">
        <v>0</v>
      </c>
      <c r="L1120" s="10">
        <v>6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2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4</v>
      </c>
      <c r="Y1120" s="10">
        <v>0</v>
      </c>
      <c r="Z1120" s="10">
        <v>78</v>
      </c>
      <c r="AA1120" s="10">
        <v>2</v>
      </c>
    </row>
    <row r="1121" spans="1:27" s="10" customFormat="1" x14ac:dyDescent="0.25">
      <c r="A1121" s="10" t="s">
        <v>41</v>
      </c>
      <c r="B1121" s="10" t="s">
        <v>28</v>
      </c>
      <c r="C1121" s="10" t="s">
        <v>81</v>
      </c>
      <c r="D1121" s="10">
        <v>0</v>
      </c>
      <c r="E1121" s="10">
        <v>0</v>
      </c>
      <c r="F1121" s="10">
        <v>0</v>
      </c>
      <c r="G1121" s="10">
        <v>0</v>
      </c>
      <c r="H1121" s="10">
        <v>0</v>
      </c>
      <c r="I1121" s="10">
        <v>0</v>
      </c>
      <c r="J1121" s="10">
        <v>0</v>
      </c>
      <c r="K1121" s="10">
        <v>0</v>
      </c>
      <c r="L1121" s="10">
        <v>0</v>
      </c>
      <c r="M1121" s="10">
        <v>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68</v>
      </c>
      <c r="AA1121" s="10">
        <v>0</v>
      </c>
    </row>
    <row r="1122" spans="1:27" s="10" customFormat="1" x14ac:dyDescent="0.25">
      <c r="A1122" s="10" t="s">
        <v>41</v>
      </c>
      <c r="B1122" s="10" t="s">
        <v>28</v>
      </c>
      <c r="C1122" s="10" t="s">
        <v>80</v>
      </c>
      <c r="D1122" s="10">
        <v>0</v>
      </c>
      <c r="E1122" s="10">
        <v>0</v>
      </c>
      <c r="F1122" s="10">
        <v>0</v>
      </c>
      <c r="G1122" s="10">
        <v>0</v>
      </c>
      <c r="H1122" s="10">
        <v>0</v>
      </c>
      <c r="I1122" s="10">
        <v>0</v>
      </c>
      <c r="J1122" s="10">
        <v>0</v>
      </c>
      <c r="K1122" s="10">
        <v>0</v>
      </c>
      <c r="L1122" s="10">
        <v>13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  <c r="R1122" s="10">
        <v>4</v>
      </c>
      <c r="S1122" s="10">
        <v>0</v>
      </c>
      <c r="T1122" s="10">
        <v>0</v>
      </c>
      <c r="U1122" s="10">
        <v>4</v>
      </c>
      <c r="V1122" s="10">
        <v>0</v>
      </c>
      <c r="W1122" s="10">
        <v>0</v>
      </c>
      <c r="X1122" s="10">
        <v>4</v>
      </c>
      <c r="Y1122" s="10">
        <v>5</v>
      </c>
      <c r="Z1122" s="10">
        <v>80</v>
      </c>
      <c r="AA1122" s="10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topLeftCell="K1" workbookViewId="0">
      <selection activeCell="S2" sqref="S2:S57"/>
    </sheetView>
  </sheetViews>
  <sheetFormatPr defaultColWidth="11.09765625" defaultRowHeight="13.8" x14ac:dyDescent="0.25"/>
  <cols>
    <col min="1" max="1" width="10" customWidth="1"/>
    <col min="3" max="3" width="15.3984375" bestFit="1" customWidth="1"/>
    <col min="4" max="4" width="14.3984375" bestFit="1" customWidth="1"/>
    <col min="8" max="8" width="17.09765625" bestFit="1" customWidth="1"/>
    <col min="9" max="9" width="16.699218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>
        <v>0</v>
      </c>
      <c r="D2">
        <v>0</v>
      </c>
      <c r="E2">
        <v>13.06666666666667</v>
      </c>
      <c r="F2">
        <v>0</v>
      </c>
      <c r="G2">
        <v>0</v>
      </c>
      <c r="H2">
        <v>0</v>
      </c>
      <c r="I2">
        <v>0</v>
      </c>
      <c r="J2">
        <v>1.0666666666666671</v>
      </c>
      <c r="K2">
        <v>0</v>
      </c>
      <c r="L2">
        <v>2.1333333333333329</v>
      </c>
      <c r="M2">
        <v>2.1333333333333329</v>
      </c>
      <c r="N2">
        <v>0.8</v>
      </c>
      <c r="O2">
        <v>0</v>
      </c>
      <c r="P2">
        <v>0.26666666666666672</v>
      </c>
      <c r="Q2">
        <v>2.4</v>
      </c>
      <c r="R2">
        <v>0</v>
      </c>
      <c r="S2">
        <v>0</v>
      </c>
      <c r="T2">
        <v>0.8</v>
      </c>
      <c r="U2">
        <v>0</v>
      </c>
      <c r="V2">
        <v>0</v>
      </c>
      <c r="W2">
        <v>23.2</v>
      </c>
      <c r="X2">
        <v>6.1333333333333337</v>
      </c>
      <c r="Y2">
        <v>47.2</v>
      </c>
      <c r="Z2">
        <v>0.8</v>
      </c>
    </row>
    <row r="3" spans="1:26" x14ac:dyDescent="0.25">
      <c r="A3" t="s">
        <v>26</v>
      </c>
      <c r="B3" t="s">
        <v>28</v>
      </c>
      <c r="C3">
        <v>0</v>
      </c>
      <c r="D3">
        <v>0</v>
      </c>
      <c r="E3">
        <v>14.133333333333329</v>
      </c>
      <c r="F3">
        <v>0.53333333333333333</v>
      </c>
      <c r="G3">
        <v>0</v>
      </c>
      <c r="H3">
        <v>0</v>
      </c>
      <c r="I3">
        <v>0.26666666666666672</v>
      </c>
      <c r="J3">
        <v>1.6</v>
      </c>
      <c r="K3">
        <v>0</v>
      </c>
      <c r="L3">
        <v>1.0666666666666671</v>
      </c>
      <c r="M3">
        <v>1.0666666666666671</v>
      </c>
      <c r="N3">
        <v>0.26666666666666672</v>
      </c>
      <c r="O3">
        <v>0</v>
      </c>
      <c r="P3">
        <v>0.53333333333333333</v>
      </c>
      <c r="Q3">
        <v>1.0666666666666671</v>
      </c>
      <c r="R3">
        <v>0</v>
      </c>
      <c r="S3">
        <v>0</v>
      </c>
      <c r="T3">
        <v>0.26666666666666672</v>
      </c>
      <c r="U3">
        <v>0.53333333333333333</v>
      </c>
      <c r="V3">
        <v>0</v>
      </c>
      <c r="W3">
        <v>31.733333333333331</v>
      </c>
      <c r="X3">
        <v>5.8666666666666663</v>
      </c>
      <c r="Y3">
        <v>38.133333333333333</v>
      </c>
      <c r="Z3">
        <v>2.9333333333333331</v>
      </c>
    </row>
    <row r="4" spans="1:26" x14ac:dyDescent="0.25">
      <c r="A4" t="s">
        <v>26</v>
      </c>
      <c r="B4" t="s">
        <v>29</v>
      </c>
      <c r="C4">
        <v>0</v>
      </c>
      <c r="D4">
        <v>0</v>
      </c>
      <c r="E4">
        <v>16</v>
      </c>
      <c r="F4">
        <v>0</v>
      </c>
      <c r="G4">
        <v>0</v>
      </c>
      <c r="H4">
        <v>0</v>
      </c>
      <c r="I4">
        <v>0.26666666666666672</v>
      </c>
      <c r="J4">
        <v>0.8</v>
      </c>
      <c r="K4">
        <v>0</v>
      </c>
      <c r="L4">
        <v>0.26666666666666672</v>
      </c>
      <c r="M4">
        <v>0.8</v>
      </c>
      <c r="N4">
        <v>0.26666666666666672</v>
      </c>
      <c r="O4">
        <v>0</v>
      </c>
      <c r="P4">
        <v>0</v>
      </c>
      <c r="Q4">
        <v>2.9333333333333331</v>
      </c>
      <c r="R4">
        <v>0</v>
      </c>
      <c r="S4">
        <v>0</v>
      </c>
      <c r="T4">
        <v>0</v>
      </c>
      <c r="U4">
        <v>0</v>
      </c>
      <c r="V4">
        <v>0</v>
      </c>
      <c r="W4">
        <v>29.333333333333329</v>
      </c>
      <c r="X4">
        <v>4.5333333333333332</v>
      </c>
      <c r="Y4">
        <v>41.866666666666667</v>
      </c>
      <c r="Z4">
        <v>2.9333333333333331</v>
      </c>
    </row>
    <row r="5" spans="1:26" x14ac:dyDescent="0.25">
      <c r="A5" t="s">
        <v>26</v>
      </c>
      <c r="B5" t="s">
        <v>30</v>
      </c>
      <c r="C5">
        <v>0</v>
      </c>
      <c r="D5">
        <v>0</v>
      </c>
      <c r="E5">
        <v>12.8</v>
      </c>
      <c r="F5">
        <v>0</v>
      </c>
      <c r="G5">
        <v>0</v>
      </c>
      <c r="H5">
        <v>0</v>
      </c>
      <c r="I5">
        <v>0.26666666666666672</v>
      </c>
      <c r="J5">
        <v>1.6</v>
      </c>
      <c r="K5">
        <v>1.0666666666666671</v>
      </c>
      <c r="L5">
        <v>0.53333333333333333</v>
      </c>
      <c r="M5">
        <v>0.26666666666666672</v>
      </c>
      <c r="N5">
        <v>0.26666666666666672</v>
      </c>
      <c r="O5">
        <v>0</v>
      </c>
      <c r="P5">
        <v>0</v>
      </c>
      <c r="Q5">
        <v>1.333333333333333</v>
      </c>
      <c r="R5">
        <v>0</v>
      </c>
      <c r="S5">
        <v>0</v>
      </c>
      <c r="T5">
        <v>0</v>
      </c>
      <c r="U5">
        <v>0</v>
      </c>
      <c r="V5">
        <v>0</v>
      </c>
      <c r="W5">
        <v>36</v>
      </c>
      <c r="X5">
        <v>4.8</v>
      </c>
      <c r="Y5">
        <v>37.333333333333343</v>
      </c>
      <c r="Z5">
        <v>3.7333333333333329</v>
      </c>
    </row>
    <row r="6" spans="1:26" x14ac:dyDescent="0.25">
      <c r="A6" t="s">
        <v>26</v>
      </c>
      <c r="B6" t="s">
        <v>31</v>
      </c>
      <c r="C6">
        <v>0</v>
      </c>
      <c r="D6">
        <v>0</v>
      </c>
      <c r="E6">
        <v>4.8</v>
      </c>
      <c r="F6">
        <v>0.26666666666666672</v>
      </c>
      <c r="G6">
        <v>0</v>
      </c>
      <c r="H6">
        <v>0</v>
      </c>
      <c r="I6">
        <v>0</v>
      </c>
      <c r="J6">
        <v>4.8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1.6</v>
      </c>
      <c r="R6">
        <v>0</v>
      </c>
      <c r="S6">
        <v>0</v>
      </c>
      <c r="T6">
        <v>0</v>
      </c>
      <c r="U6">
        <v>0</v>
      </c>
      <c r="V6">
        <v>0</v>
      </c>
      <c r="W6">
        <v>53.6</v>
      </c>
      <c r="X6">
        <v>2.4</v>
      </c>
      <c r="Y6">
        <v>19.466666666666669</v>
      </c>
      <c r="Z6">
        <v>13.06666666666667</v>
      </c>
    </row>
    <row r="7" spans="1:26" x14ac:dyDescent="0.25">
      <c r="A7" t="s">
        <v>26</v>
      </c>
      <c r="B7" t="s">
        <v>32</v>
      </c>
      <c r="C7">
        <v>0</v>
      </c>
      <c r="D7">
        <v>0</v>
      </c>
      <c r="E7">
        <v>3.7333333333333329</v>
      </c>
      <c r="F7">
        <v>0</v>
      </c>
      <c r="G7">
        <v>0</v>
      </c>
      <c r="H7">
        <v>0</v>
      </c>
      <c r="I7">
        <v>0</v>
      </c>
      <c r="J7">
        <v>6.1333333333333337</v>
      </c>
      <c r="K7">
        <v>0.26666666666666672</v>
      </c>
      <c r="L7">
        <v>0</v>
      </c>
      <c r="M7">
        <v>0</v>
      </c>
      <c r="N7">
        <v>0</v>
      </c>
      <c r="O7">
        <v>0</v>
      </c>
      <c r="P7">
        <v>0</v>
      </c>
      <c r="Q7">
        <v>0.8</v>
      </c>
      <c r="R7">
        <v>0</v>
      </c>
      <c r="S7">
        <v>0</v>
      </c>
      <c r="T7">
        <v>0</v>
      </c>
      <c r="U7">
        <v>0</v>
      </c>
      <c r="V7">
        <v>0</v>
      </c>
      <c r="W7">
        <v>45.866666666666667</v>
      </c>
      <c r="X7">
        <v>1.8666666666666669</v>
      </c>
      <c r="Y7">
        <v>31.466666666666669</v>
      </c>
      <c r="Z7">
        <v>9.8666666666666671</v>
      </c>
    </row>
    <row r="8" spans="1:26" x14ac:dyDescent="0.25">
      <c r="A8" t="s">
        <v>33</v>
      </c>
      <c r="B8" t="s">
        <v>27</v>
      </c>
      <c r="C8">
        <v>2.4</v>
      </c>
      <c r="D8">
        <v>0</v>
      </c>
      <c r="E8">
        <v>4.8</v>
      </c>
      <c r="F8">
        <v>1.6</v>
      </c>
      <c r="G8">
        <v>0.26666666666666672</v>
      </c>
      <c r="H8">
        <v>0</v>
      </c>
      <c r="I8">
        <v>0</v>
      </c>
      <c r="J8">
        <v>1.8666666666666669</v>
      </c>
      <c r="K8">
        <v>0</v>
      </c>
      <c r="L8">
        <v>0</v>
      </c>
      <c r="M8">
        <v>0.8</v>
      </c>
      <c r="N8">
        <v>2.4</v>
      </c>
      <c r="O8">
        <v>0</v>
      </c>
      <c r="P8">
        <v>0</v>
      </c>
      <c r="Q8">
        <v>0.26666666666666672</v>
      </c>
      <c r="R8">
        <v>0.53333333333333333</v>
      </c>
      <c r="S8">
        <v>0</v>
      </c>
      <c r="T8">
        <v>0</v>
      </c>
      <c r="U8">
        <v>0</v>
      </c>
      <c r="V8">
        <v>0</v>
      </c>
      <c r="W8">
        <v>28.533333333333331</v>
      </c>
      <c r="X8">
        <v>1.0666666666666671</v>
      </c>
      <c r="Y8">
        <v>54.4</v>
      </c>
      <c r="Z8">
        <v>1.0666666666666671</v>
      </c>
    </row>
    <row r="9" spans="1:26" x14ac:dyDescent="0.25">
      <c r="A9" t="s">
        <v>33</v>
      </c>
      <c r="B9" t="s">
        <v>28</v>
      </c>
      <c r="C9">
        <v>2.666666666666667</v>
      </c>
      <c r="D9">
        <v>0</v>
      </c>
      <c r="E9">
        <v>7.2</v>
      </c>
      <c r="F9">
        <v>0</v>
      </c>
      <c r="G9">
        <v>0</v>
      </c>
      <c r="H9">
        <v>0</v>
      </c>
      <c r="I9">
        <v>0</v>
      </c>
      <c r="J9">
        <v>1.0666666666666671</v>
      </c>
      <c r="K9">
        <v>0</v>
      </c>
      <c r="L9">
        <v>0</v>
      </c>
      <c r="M9">
        <v>2.666666666666667</v>
      </c>
      <c r="N9">
        <v>3.7333333333333329</v>
      </c>
      <c r="O9">
        <v>0</v>
      </c>
      <c r="P9">
        <v>1.333333333333333</v>
      </c>
      <c r="Q9">
        <v>1.8666666666666669</v>
      </c>
      <c r="R9">
        <v>0</v>
      </c>
      <c r="S9">
        <v>0</v>
      </c>
      <c r="T9">
        <v>0</v>
      </c>
      <c r="U9">
        <v>0</v>
      </c>
      <c r="V9">
        <v>0</v>
      </c>
      <c r="W9">
        <v>12</v>
      </c>
      <c r="X9">
        <v>0.53333333333333333</v>
      </c>
      <c r="Y9">
        <v>65.86666666666666</v>
      </c>
      <c r="Z9">
        <v>1.0666666666666671</v>
      </c>
    </row>
    <row r="10" spans="1:26" x14ac:dyDescent="0.25">
      <c r="A10" t="s">
        <v>33</v>
      </c>
      <c r="B10" t="s">
        <v>29</v>
      </c>
      <c r="C10">
        <v>4</v>
      </c>
      <c r="D10">
        <v>0</v>
      </c>
      <c r="E10">
        <v>4</v>
      </c>
      <c r="F10">
        <v>0.26666666666666672</v>
      </c>
      <c r="G10">
        <v>0.53333333333333333</v>
      </c>
      <c r="H10">
        <v>0</v>
      </c>
      <c r="I10">
        <v>0</v>
      </c>
      <c r="J10">
        <v>0.8</v>
      </c>
      <c r="K10">
        <v>0</v>
      </c>
      <c r="L10">
        <v>0</v>
      </c>
      <c r="M10">
        <v>1.0666666666666671</v>
      </c>
      <c r="N10">
        <v>5.0666666666666664</v>
      </c>
      <c r="O10">
        <v>0</v>
      </c>
      <c r="P10">
        <v>0</v>
      </c>
      <c r="Q10">
        <v>1.6</v>
      </c>
      <c r="R10">
        <v>0</v>
      </c>
      <c r="S10">
        <v>0.53333333333333333</v>
      </c>
      <c r="T10">
        <v>0</v>
      </c>
      <c r="U10">
        <v>0</v>
      </c>
      <c r="V10">
        <v>0</v>
      </c>
      <c r="W10">
        <v>20</v>
      </c>
      <c r="X10">
        <v>2.666666666666667</v>
      </c>
      <c r="Y10">
        <v>58.666666666666657</v>
      </c>
      <c r="Z10">
        <v>0.8</v>
      </c>
    </row>
    <row r="11" spans="1:26" x14ac:dyDescent="0.25">
      <c r="A11" t="s">
        <v>33</v>
      </c>
      <c r="B11" t="s">
        <v>30</v>
      </c>
      <c r="C11">
        <v>6.666666666666667</v>
      </c>
      <c r="D11">
        <v>0</v>
      </c>
      <c r="E11">
        <v>2.666666666666667</v>
      </c>
      <c r="F11">
        <v>8.8000000000000007</v>
      </c>
      <c r="G11">
        <v>1.6</v>
      </c>
      <c r="H11">
        <v>0</v>
      </c>
      <c r="I11">
        <v>0.26666666666666672</v>
      </c>
      <c r="J11">
        <v>2.4</v>
      </c>
      <c r="K11">
        <v>0</v>
      </c>
      <c r="L11">
        <v>0</v>
      </c>
      <c r="M11">
        <v>0.26666666666666672</v>
      </c>
      <c r="N11">
        <v>0.53333333333333333</v>
      </c>
      <c r="O11">
        <v>0</v>
      </c>
      <c r="P11">
        <v>0</v>
      </c>
      <c r="Q11">
        <v>2.4</v>
      </c>
      <c r="R11">
        <v>0</v>
      </c>
      <c r="S11">
        <v>0</v>
      </c>
      <c r="T11">
        <v>0.53333333333333333</v>
      </c>
      <c r="U11">
        <v>0</v>
      </c>
      <c r="V11">
        <v>0</v>
      </c>
      <c r="W11">
        <v>29.06666666666667</v>
      </c>
      <c r="X11">
        <v>1.333333333333333</v>
      </c>
      <c r="Y11">
        <v>41.6</v>
      </c>
      <c r="Z11">
        <v>1.8666666666666669</v>
      </c>
    </row>
    <row r="12" spans="1:26" x14ac:dyDescent="0.25">
      <c r="A12" t="s">
        <v>33</v>
      </c>
      <c r="B12" t="s">
        <v>31</v>
      </c>
      <c r="C12">
        <v>9.6</v>
      </c>
      <c r="D12">
        <v>5.0666666666666664</v>
      </c>
      <c r="E12">
        <v>8.2666666666666675</v>
      </c>
      <c r="F12">
        <v>4.8</v>
      </c>
      <c r="G12">
        <v>0</v>
      </c>
      <c r="H12">
        <v>0</v>
      </c>
      <c r="I12">
        <v>0</v>
      </c>
      <c r="J12">
        <v>2.4</v>
      </c>
      <c r="K12">
        <v>0.26666666666666672</v>
      </c>
      <c r="L12">
        <v>0</v>
      </c>
      <c r="M12">
        <v>0</v>
      </c>
      <c r="N12">
        <v>0.26666666666666672</v>
      </c>
      <c r="O12">
        <v>0</v>
      </c>
      <c r="P12">
        <v>0</v>
      </c>
      <c r="Q12">
        <v>1.333333333333333</v>
      </c>
      <c r="R12">
        <v>0</v>
      </c>
      <c r="S12">
        <v>0</v>
      </c>
      <c r="T12">
        <v>0</v>
      </c>
      <c r="U12">
        <v>0</v>
      </c>
      <c r="V12">
        <v>0</v>
      </c>
      <c r="W12">
        <v>20.8</v>
      </c>
      <c r="X12">
        <v>0.53333333333333333</v>
      </c>
      <c r="Y12">
        <v>46.133333333333333</v>
      </c>
      <c r="Z12">
        <v>0.53333333333333333</v>
      </c>
    </row>
    <row r="13" spans="1:26" x14ac:dyDescent="0.25">
      <c r="A13" t="s">
        <v>33</v>
      </c>
      <c r="B13" t="s">
        <v>32</v>
      </c>
      <c r="C13">
        <v>2.4</v>
      </c>
      <c r="D13">
        <v>8</v>
      </c>
      <c r="E13">
        <v>2.9333333333333331</v>
      </c>
      <c r="F13">
        <v>0</v>
      </c>
      <c r="G13">
        <v>0</v>
      </c>
      <c r="H13">
        <v>0</v>
      </c>
      <c r="I13">
        <v>0</v>
      </c>
      <c r="J13">
        <v>0.53333333333333333</v>
      </c>
      <c r="K13">
        <v>0</v>
      </c>
      <c r="L13">
        <v>0</v>
      </c>
      <c r="M13">
        <v>8.8000000000000007</v>
      </c>
      <c r="N13">
        <v>5.333333333333333</v>
      </c>
      <c r="O13">
        <v>0</v>
      </c>
      <c r="P13">
        <v>0</v>
      </c>
      <c r="Q13">
        <v>1.6</v>
      </c>
      <c r="R13">
        <v>0</v>
      </c>
      <c r="S13">
        <v>0</v>
      </c>
      <c r="T13">
        <v>0</v>
      </c>
      <c r="U13">
        <v>0</v>
      </c>
      <c r="V13">
        <v>0</v>
      </c>
      <c r="W13">
        <v>12.8</v>
      </c>
      <c r="X13">
        <v>0</v>
      </c>
      <c r="Y13">
        <v>57.06666666666667</v>
      </c>
      <c r="Z13">
        <v>0.53333333333333333</v>
      </c>
    </row>
    <row r="14" spans="1:26" x14ac:dyDescent="0.25">
      <c r="A14" t="s">
        <v>34</v>
      </c>
      <c r="B14" t="s">
        <v>27</v>
      </c>
      <c r="C14">
        <v>0.26666666666666672</v>
      </c>
      <c r="D14">
        <v>0</v>
      </c>
      <c r="E14">
        <v>19.466666666666669</v>
      </c>
      <c r="F14">
        <v>0</v>
      </c>
      <c r="G14">
        <v>0</v>
      </c>
      <c r="H14">
        <v>0</v>
      </c>
      <c r="I14">
        <v>0</v>
      </c>
      <c r="J14">
        <v>3.7333333333333329</v>
      </c>
      <c r="K14">
        <v>0</v>
      </c>
      <c r="L14">
        <v>0</v>
      </c>
      <c r="M14">
        <v>0</v>
      </c>
      <c r="N14">
        <v>0.53333333333333333</v>
      </c>
      <c r="O14">
        <v>0</v>
      </c>
      <c r="P14">
        <v>0.26666666666666672</v>
      </c>
      <c r="Q14">
        <v>0</v>
      </c>
      <c r="R14">
        <v>0</v>
      </c>
      <c r="S14">
        <v>0.26666666666666672</v>
      </c>
      <c r="T14">
        <v>0.26666666666666672</v>
      </c>
      <c r="U14">
        <v>0</v>
      </c>
      <c r="V14">
        <v>0</v>
      </c>
      <c r="W14">
        <v>17.06666666666667</v>
      </c>
      <c r="X14">
        <v>1.8666666666666669</v>
      </c>
      <c r="Y14">
        <v>54.4</v>
      </c>
      <c r="Z14">
        <v>1.8666666666666669</v>
      </c>
    </row>
    <row r="15" spans="1:26" x14ac:dyDescent="0.25">
      <c r="A15" t="s">
        <v>34</v>
      </c>
      <c r="B15" t="s">
        <v>28</v>
      </c>
      <c r="C15">
        <v>6.1333333333333337</v>
      </c>
      <c r="D15">
        <v>0</v>
      </c>
      <c r="E15">
        <v>8.8000000000000007</v>
      </c>
      <c r="F15">
        <v>0.53333333333333333</v>
      </c>
      <c r="G15">
        <v>0.53333333333333333</v>
      </c>
      <c r="H15">
        <v>0</v>
      </c>
      <c r="I15">
        <v>0</v>
      </c>
      <c r="J15">
        <v>2.666666666666667</v>
      </c>
      <c r="K15">
        <v>0</v>
      </c>
      <c r="L15">
        <v>0</v>
      </c>
      <c r="M15">
        <v>1.8666666666666669</v>
      </c>
      <c r="N15">
        <v>1.0666666666666671</v>
      </c>
      <c r="O15">
        <v>0</v>
      </c>
      <c r="P15">
        <v>0.26666666666666672</v>
      </c>
      <c r="Q15">
        <v>1.0666666666666671</v>
      </c>
      <c r="R15">
        <v>0</v>
      </c>
      <c r="S15">
        <v>0</v>
      </c>
      <c r="T15">
        <v>0.8</v>
      </c>
      <c r="U15">
        <v>0</v>
      </c>
      <c r="V15">
        <v>0</v>
      </c>
      <c r="W15">
        <v>20.8</v>
      </c>
      <c r="X15">
        <v>4.5333333333333332</v>
      </c>
      <c r="Y15">
        <v>48</v>
      </c>
      <c r="Z15">
        <v>2.9333333333333331</v>
      </c>
    </row>
    <row r="16" spans="1:26" x14ac:dyDescent="0.25">
      <c r="A16" t="s">
        <v>34</v>
      </c>
      <c r="B16" t="s">
        <v>29</v>
      </c>
      <c r="C16">
        <v>4.8</v>
      </c>
      <c r="D16">
        <v>0</v>
      </c>
      <c r="E16">
        <v>9.0666666666666664</v>
      </c>
      <c r="F16">
        <v>4.2666666666666666</v>
      </c>
      <c r="G16">
        <v>0</v>
      </c>
      <c r="H16">
        <v>0</v>
      </c>
      <c r="I16">
        <v>0</v>
      </c>
      <c r="J16">
        <v>3.7333333333333329</v>
      </c>
      <c r="K16">
        <v>0</v>
      </c>
      <c r="L16">
        <v>0</v>
      </c>
      <c r="M16">
        <v>0.53333333333333333</v>
      </c>
      <c r="N16">
        <v>0.53333333333333333</v>
      </c>
      <c r="O16">
        <v>0</v>
      </c>
      <c r="P16">
        <v>0</v>
      </c>
      <c r="Q16">
        <v>1.6</v>
      </c>
      <c r="R16">
        <v>0</v>
      </c>
      <c r="S16">
        <v>1.333333333333333</v>
      </c>
      <c r="T16">
        <v>0.26666666666666672</v>
      </c>
      <c r="U16">
        <v>0</v>
      </c>
      <c r="V16">
        <v>0</v>
      </c>
      <c r="W16">
        <v>23.466666666666669</v>
      </c>
      <c r="X16">
        <v>4.2666666666666666</v>
      </c>
      <c r="Y16">
        <v>45.06666666666667</v>
      </c>
      <c r="Z16">
        <v>1.0666666666666671</v>
      </c>
    </row>
    <row r="17" spans="1:26" x14ac:dyDescent="0.25">
      <c r="A17" t="s">
        <v>34</v>
      </c>
      <c r="B17" t="s">
        <v>30</v>
      </c>
      <c r="C17">
        <v>0</v>
      </c>
      <c r="D17">
        <v>0</v>
      </c>
      <c r="E17">
        <v>13.33333333333333</v>
      </c>
      <c r="F17">
        <v>0</v>
      </c>
      <c r="G17">
        <v>0</v>
      </c>
      <c r="H17">
        <v>0</v>
      </c>
      <c r="I17">
        <v>0</v>
      </c>
      <c r="J17">
        <v>7.4666666666666668</v>
      </c>
      <c r="K17">
        <v>0</v>
      </c>
      <c r="L17">
        <v>0.26666666666666672</v>
      </c>
      <c r="M17">
        <v>0</v>
      </c>
      <c r="N17">
        <v>1.0666666666666671</v>
      </c>
      <c r="O17">
        <v>0</v>
      </c>
      <c r="P17">
        <v>0</v>
      </c>
      <c r="Q17">
        <v>0.53333333333333333</v>
      </c>
      <c r="R17">
        <v>0</v>
      </c>
      <c r="S17">
        <v>4.2666666666666666</v>
      </c>
      <c r="T17">
        <v>0</v>
      </c>
      <c r="U17">
        <v>0</v>
      </c>
      <c r="V17">
        <v>0</v>
      </c>
      <c r="W17">
        <v>25.6</v>
      </c>
      <c r="X17">
        <v>2.9333333333333331</v>
      </c>
      <c r="Y17">
        <v>40.533333333333331</v>
      </c>
      <c r="Z17">
        <v>4</v>
      </c>
    </row>
    <row r="18" spans="1:26" x14ac:dyDescent="0.25">
      <c r="A18" t="s">
        <v>34</v>
      </c>
      <c r="B18" t="s">
        <v>31</v>
      </c>
      <c r="C18">
        <v>0</v>
      </c>
      <c r="D18">
        <v>0</v>
      </c>
      <c r="E18">
        <v>15.733333333333331</v>
      </c>
      <c r="F18">
        <v>2.4</v>
      </c>
      <c r="G18">
        <v>0.53333333333333333</v>
      </c>
      <c r="H18">
        <v>0</v>
      </c>
      <c r="I18">
        <v>0</v>
      </c>
      <c r="J18">
        <v>2.4</v>
      </c>
      <c r="K18">
        <v>0</v>
      </c>
      <c r="L18">
        <v>0.26666666666666672</v>
      </c>
      <c r="M18">
        <v>0.8</v>
      </c>
      <c r="N18">
        <v>0.8</v>
      </c>
      <c r="O18">
        <v>0</v>
      </c>
      <c r="P18">
        <v>0.26666666666666672</v>
      </c>
      <c r="Q18">
        <v>1.8666666666666669</v>
      </c>
      <c r="R18">
        <v>0.53333333333333333</v>
      </c>
      <c r="S18">
        <v>7.7333333333333334</v>
      </c>
      <c r="T18">
        <v>0</v>
      </c>
      <c r="U18">
        <v>0</v>
      </c>
      <c r="V18">
        <v>0</v>
      </c>
      <c r="W18">
        <v>21.866666666666671</v>
      </c>
      <c r="X18">
        <v>3.4666666666666668</v>
      </c>
      <c r="Y18">
        <v>39.733333333333327</v>
      </c>
      <c r="Z18">
        <v>1.6</v>
      </c>
    </row>
    <row r="19" spans="1:26" x14ac:dyDescent="0.25">
      <c r="A19" t="s">
        <v>34</v>
      </c>
      <c r="B19" t="s">
        <v>32</v>
      </c>
      <c r="C19">
        <v>0</v>
      </c>
      <c r="D19">
        <v>0</v>
      </c>
      <c r="E19">
        <v>7.4666666666666668</v>
      </c>
      <c r="F19">
        <v>0.26666666666666672</v>
      </c>
      <c r="G19">
        <v>0</v>
      </c>
      <c r="H19">
        <v>0</v>
      </c>
      <c r="I19">
        <v>0</v>
      </c>
      <c r="J19">
        <v>2.666666666666667</v>
      </c>
      <c r="K19">
        <v>0</v>
      </c>
      <c r="L19">
        <v>0.26666666666666672</v>
      </c>
      <c r="M19">
        <v>2.9333333333333331</v>
      </c>
      <c r="N19">
        <v>0</v>
      </c>
      <c r="O19">
        <v>0</v>
      </c>
      <c r="P19">
        <v>1.0666666666666671</v>
      </c>
      <c r="Q19">
        <v>2.1333333333333329</v>
      </c>
      <c r="R19">
        <v>0</v>
      </c>
      <c r="S19">
        <v>0.53333333333333333</v>
      </c>
      <c r="T19">
        <v>0.8</v>
      </c>
      <c r="U19">
        <v>0</v>
      </c>
      <c r="V19">
        <v>0</v>
      </c>
      <c r="W19">
        <v>23.733333333333331</v>
      </c>
      <c r="X19">
        <v>1.6</v>
      </c>
      <c r="Y19">
        <v>54.4</v>
      </c>
      <c r="Z19">
        <v>2.1333333333333329</v>
      </c>
    </row>
    <row r="20" spans="1:26" x14ac:dyDescent="0.25">
      <c r="A20" t="s">
        <v>35</v>
      </c>
      <c r="B20" t="s">
        <v>27</v>
      </c>
      <c r="C20">
        <v>0</v>
      </c>
      <c r="D20">
        <v>0</v>
      </c>
      <c r="E20">
        <v>13.6</v>
      </c>
      <c r="F20">
        <v>6.1333333333333337</v>
      </c>
      <c r="G20">
        <v>0.53333333333333333</v>
      </c>
      <c r="H20">
        <v>0</v>
      </c>
      <c r="I20">
        <v>0.26666666666666672</v>
      </c>
      <c r="J20">
        <v>2.9333333333333331</v>
      </c>
      <c r="K20">
        <v>0</v>
      </c>
      <c r="L20">
        <v>0</v>
      </c>
      <c r="M20">
        <v>0</v>
      </c>
      <c r="N20">
        <v>0.8</v>
      </c>
      <c r="O20">
        <v>0</v>
      </c>
      <c r="P20">
        <v>0</v>
      </c>
      <c r="Q20">
        <v>1.8666666666666669</v>
      </c>
      <c r="R20">
        <v>0</v>
      </c>
      <c r="S20">
        <v>0.26666666666666672</v>
      </c>
      <c r="T20">
        <v>0</v>
      </c>
      <c r="U20">
        <v>0</v>
      </c>
      <c r="V20">
        <v>2.666666666666667</v>
      </c>
      <c r="W20">
        <v>16.8</v>
      </c>
      <c r="X20">
        <v>2.4</v>
      </c>
      <c r="Y20">
        <v>49.333333333333343</v>
      </c>
      <c r="Z20">
        <v>2.4</v>
      </c>
    </row>
    <row r="21" spans="1:26" x14ac:dyDescent="0.25">
      <c r="A21" t="s">
        <v>35</v>
      </c>
      <c r="B21" t="s">
        <v>28</v>
      </c>
      <c r="C21">
        <v>0</v>
      </c>
      <c r="D21">
        <v>0</v>
      </c>
      <c r="E21">
        <v>14.133333333333329</v>
      </c>
      <c r="F21">
        <v>7.4666666666666668</v>
      </c>
      <c r="G21">
        <v>0.53333333333333333</v>
      </c>
      <c r="H21">
        <v>0</v>
      </c>
      <c r="I21">
        <v>0</v>
      </c>
      <c r="J21">
        <v>5.333333333333333</v>
      </c>
      <c r="K21">
        <v>0</v>
      </c>
      <c r="L21">
        <v>0</v>
      </c>
      <c r="M21">
        <v>0</v>
      </c>
      <c r="N21">
        <v>0.8</v>
      </c>
      <c r="O21">
        <v>0</v>
      </c>
      <c r="P21">
        <v>0.26666666666666672</v>
      </c>
      <c r="Q21">
        <v>1.0666666666666671</v>
      </c>
      <c r="R21">
        <v>0</v>
      </c>
      <c r="S21">
        <v>0</v>
      </c>
      <c r="T21">
        <v>0</v>
      </c>
      <c r="U21">
        <v>0</v>
      </c>
      <c r="V21">
        <v>2.9333333333333331</v>
      </c>
      <c r="W21">
        <v>19.733333333333331</v>
      </c>
      <c r="X21">
        <v>2.666666666666667</v>
      </c>
      <c r="Y21">
        <v>39.200000000000003</v>
      </c>
      <c r="Z21">
        <v>5.8666666666666663</v>
      </c>
    </row>
    <row r="22" spans="1:26" x14ac:dyDescent="0.25">
      <c r="A22" t="s">
        <v>35</v>
      </c>
      <c r="B22" t="s">
        <v>29</v>
      </c>
      <c r="C22">
        <v>0.26666666666666672</v>
      </c>
      <c r="D22">
        <v>0</v>
      </c>
      <c r="E22">
        <v>17.600000000000001</v>
      </c>
      <c r="F22">
        <v>0.8</v>
      </c>
      <c r="G22">
        <v>0</v>
      </c>
      <c r="H22">
        <v>0</v>
      </c>
      <c r="I22">
        <v>0</v>
      </c>
      <c r="J22">
        <v>3.7333333333333329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3.4666666666666668</v>
      </c>
      <c r="R22">
        <v>0</v>
      </c>
      <c r="S22">
        <v>0</v>
      </c>
      <c r="T22">
        <v>0</v>
      </c>
      <c r="U22">
        <v>0</v>
      </c>
      <c r="V22">
        <v>4.2666666666666666</v>
      </c>
      <c r="W22">
        <v>13.33333333333333</v>
      </c>
      <c r="X22">
        <v>1.333333333333333</v>
      </c>
      <c r="Y22">
        <v>54.4</v>
      </c>
      <c r="Z22">
        <v>0.8</v>
      </c>
    </row>
    <row r="23" spans="1:26" x14ac:dyDescent="0.25">
      <c r="A23" t="s">
        <v>35</v>
      </c>
      <c r="B23" t="s">
        <v>30</v>
      </c>
      <c r="C23">
        <v>1.0666666666666671</v>
      </c>
      <c r="D23">
        <v>0</v>
      </c>
      <c r="E23">
        <v>18.133333333333329</v>
      </c>
      <c r="F23">
        <v>0.53333333333333333</v>
      </c>
      <c r="G23">
        <v>0</v>
      </c>
      <c r="H23">
        <v>0</v>
      </c>
      <c r="I23">
        <v>0</v>
      </c>
      <c r="J23">
        <v>2.1333333333333329</v>
      </c>
      <c r="K23">
        <v>0</v>
      </c>
      <c r="L23">
        <v>0</v>
      </c>
      <c r="M23">
        <v>0.26666666666666672</v>
      </c>
      <c r="N23">
        <v>0.53333333333333333</v>
      </c>
      <c r="O23">
        <v>0</v>
      </c>
      <c r="P23">
        <v>0</v>
      </c>
      <c r="Q23">
        <v>2.666666666666667</v>
      </c>
      <c r="R23">
        <v>0</v>
      </c>
      <c r="S23">
        <v>0</v>
      </c>
      <c r="T23">
        <v>0</v>
      </c>
      <c r="U23">
        <v>0</v>
      </c>
      <c r="V23">
        <v>0</v>
      </c>
      <c r="W23">
        <v>8.5333333333333332</v>
      </c>
      <c r="X23">
        <v>0.26666666666666672</v>
      </c>
      <c r="Y23">
        <v>65.599999999999994</v>
      </c>
      <c r="Z23">
        <v>0.26666666666666672</v>
      </c>
    </row>
    <row r="24" spans="1:26" x14ac:dyDescent="0.25">
      <c r="A24" t="s">
        <v>35</v>
      </c>
      <c r="B24" t="s">
        <v>31</v>
      </c>
      <c r="C24">
        <v>0.53333333333333333</v>
      </c>
      <c r="D24">
        <v>0</v>
      </c>
      <c r="E24">
        <v>21.6</v>
      </c>
      <c r="F24">
        <v>0</v>
      </c>
      <c r="G24">
        <v>0</v>
      </c>
      <c r="H24">
        <v>0</v>
      </c>
      <c r="I24">
        <v>0</v>
      </c>
      <c r="J24">
        <v>2.4</v>
      </c>
      <c r="K24">
        <v>0</v>
      </c>
      <c r="L24">
        <v>0</v>
      </c>
      <c r="M24">
        <v>0.8</v>
      </c>
      <c r="N24">
        <v>1.6</v>
      </c>
      <c r="O24">
        <v>0</v>
      </c>
      <c r="P24">
        <v>0</v>
      </c>
      <c r="Q24">
        <v>1.333333333333333</v>
      </c>
      <c r="R24">
        <v>0</v>
      </c>
      <c r="S24">
        <v>0</v>
      </c>
      <c r="T24">
        <v>0</v>
      </c>
      <c r="U24">
        <v>0</v>
      </c>
      <c r="V24">
        <v>0.53333333333333333</v>
      </c>
      <c r="W24">
        <v>8.2666666666666675</v>
      </c>
      <c r="X24">
        <v>0.8</v>
      </c>
      <c r="Y24">
        <v>61.06666666666667</v>
      </c>
      <c r="Z24">
        <v>1.0666666666666671</v>
      </c>
    </row>
    <row r="25" spans="1:26" x14ac:dyDescent="0.25">
      <c r="A25" t="s">
        <v>35</v>
      </c>
      <c r="B25" t="s">
        <v>32</v>
      </c>
      <c r="C25">
        <v>0</v>
      </c>
      <c r="D25">
        <v>0</v>
      </c>
      <c r="E25">
        <v>15.2</v>
      </c>
      <c r="F25">
        <v>0</v>
      </c>
      <c r="G25">
        <v>0</v>
      </c>
      <c r="H25">
        <v>0</v>
      </c>
      <c r="I25">
        <v>0</v>
      </c>
      <c r="J25">
        <v>0.8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1.8666666666666669</v>
      </c>
      <c r="R25">
        <v>0</v>
      </c>
      <c r="S25">
        <v>0.53333333333333333</v>
      </c>
      <c r="T25">
        <v>0</v>
      </c>
      <c r="U25">
        <v>0</v>
      </c>
      <c r="V25">
        <v>3.7333333333333329</v>
      </c>
      <c r="W25">
        <v>8.5333333333333332</v>
      </c>
      <c r="X25">
        <v>0.26666666666666672</v>
      </c>
      <c r="Y25">
        <v>67.466666666666669</v>
      </c>
      <c r="Z25">
        <v>1.6</v>
      </c>
    </row>
    <row r="26" spans="1:26" x14ac:dyDescent="0.25">
      <c r="A26" t="s">
        <v>36</v>
      </c>
      <c r="B26" t="s">
        <v>27</v>
      </c>
      <c r="C26">
        <v>1.333333333333333</v>
      </c>
      <c r="D26">
        <v>0</v>
      </c>
      <c r="E26">
        <v>8.2666666666666675</v>
      </c>
      <c r="F26">
        <v>0.8</v>
      </c>
      <c r="G26">
        <v>0</v>
      </c>
      <c r="H26">
        <v>0</v>
      </c>
      <c r="I26">
        <v>0.53333333333333333</v>
      </c>
      <c r="J26">
        <v>1.6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2.4</v>
      </c>
      <c r="R26">
        <v>0</v>
      </c>
      <c r="S26">
        <v>0</v>
      </c>
      <c r="T26">
        <v>0</v>
      </c>
      <c r="U26">
        <v>0</v>
      </c>
      <c r="V26">
        <v>0</v>
      </c>
      <c r="W26">
        <v>22.93333333333333</v>
      </c>
      <c r="X26">
        <v>4</v>
      </c>
      <c r="Y26">
        <v>56</v>
      </c>
      <c r="Z26">
        <v>2.1333333333333329</v>
      </c>
    </row>
    <row r="27" spans="1:26" x14ac:dyDescent="0.25">
      <c r="A27" t="s">
        <v>36</v>
      </c>
      <c r="B27" t="s">
        <v>28</v>
      </c>
      <c r="C27">
        <v>0</v>
      </c>
      <c r="D27">
        <v>0</v>
      </c>
      <c r="E27">
        <v>9.6</v>
      </c>
      <c r="F27">
        <v>0</v>
      </c>
      <c r="G27">
        <v>0</v>
      </c>
      <c r="H27">
        <v>0</v>
      </c>
      <c r="I27">
        <v>0</v>
      </c>
      <c r="J27">
        <v>0.53333333333333333</v>
      </c>
      <c r="K27">
        <v>0</v>
      </c>
      <c r="L27">
        <v>0</v>
      </c>
      <c r="M27">
        <v>0</v>
      </c>
      <c r="N27">
        <v>0.8</v>
      </c>
      <c r="O27">
        <v>0</v>
      </c>
      <c r="P27">
        <v>0</v>
      </c>
      <c r="Q27">
        <v>1.6</v>
      </c>
      <c r="R27">
        <v>0</v>
      </c>
      <c r="S27">
        <v>0.26666666666666672</v>
      </c>
      <c r="T27">
        <v>0.53333333333333333</v>
      </c>
      <c r="U27">
        <v>0</v>
      </c>
      <c r="V27">
        <v>0</v>
      </c>
      <c r="W27">
        <v>21.06666666666667</v>
      </c>
      <c r="X27">
        <v>4.2666666666666666</v>
      </c>
      <c r="Y27">
        <v>60.8</v>
      </c>
      <c r="Z27">
        <v>0.53333333333333333</v>
      </c>
    </row>
    <row r="28" spans="1:26" x14ac:dyDescent="0.25">
      <c r="A28" t="s">
        <v>36</v>
      </c>
      <c r="B28" t="s">
        <v>29</v>
      </c>
      <c r="C28">
        <v>4.8</v>
      </c>
      <c r="D28">
        <v>0</v>
      </c>
      <c r="E28">
        <v>5.333333333333333</v>
      </c>
      <c r="F28">
        <v>1.0666666666666671</v>
      </c>
      <c r="G28">
        <v>0</v>
      </c>
      <c r="H28">
        <v>0</v>
      </c>
      <c r="I28">
        <v>0</v>
      </c>
      <c r="J28">
        <v>1.6</v>
      </c>
      <c r="K28">
        <v>0.26666666666666672</v>
      </c>
      <c r="L28">
        <v>0</v>
      </c>
      <c r="M28">
        <v>0.53333333333333333</v>
      </c>
      <c r="N28">
        <v>1.6</v>
      </c>
      <c r="O28">
        <v>0</v>
      </c>
      <c r="P28">
        <v>0</v>
      </c>
      <c r="Q28">
        <v>2.1333333333333329</v>
      </c>
      <c r="R28">
        <v>0</v>
      </c>
      <c r="S28">
        <v>0</v>
      </c>
      <c r="T28">
        <v>0.26666666666666672</v>
      </c>
      <c r="U28">
        <v>0</v>
      </c>
      <c r="V28">
        <v>0</v>
      </c>
      <c r="W28">
        <v>10.66666666666667</v>
      </c>
      <c r="X28">
        <v>2.1333333333333329</v>
      </c>
      <c r="Y28">
        <v>68.533333333333331</v>
      </c>
      <c r="Z28">
        <v>1.0666666666666671</v>
      </c>
    </row>
    <row r="29" spans="1:26" x14ac:dyDescent="0.25">
      <c r="A29" t="s">
        <v>36</v>
      </c>
      <c r="B29" t="s">
        <v>30</v>
      </c>
      <c r="C29">
        <v>0.8</v>
      </c>
      <c r="D29">
        <v>0</v>
      </c>
      <c r="E29">
        <v>6.9333333333333336</v>
      </c>
      <c r="F29">
        <v>0</v>
      </c>
      <c r="G29">
        <v>0</v>
      </c>
      <c r="H29">
        <v>0</v>
      </c>
      <c r="I29">
        <v>0.26666666666666672</v>
      </c>
      <c r="J29">
        <v>0.26666666666666672</v>
      </c>
      <c r="K29">
        <v>0.26666666666666672</v>
      </c>
      <c r="L29">
        <v>0</v>
      </c>
      <c r="M29">
        <v>2.1333333333333329</v>
      </c>
      <c r="N29">
        <v>0.8</v>
      </c>
      <c r="O29">
        <v>0</v>
      </c>
      <c r="P29">
        <v>0</v>
      </c>
      <c r="Q29">
        <v>1.0666666666666671</v>
      </c>
      <c r="R29">
        <v>0</v>
      </c>
      <c r="S29">
        <v>0</v>
      </c>
      <c r="T29">
        <v>0.26666666666666672</v>
      </c>
      <c r="U29">
        <v>0</v>
      </c>
      <c r="V29">
        <v>0</v>
      </c>
      <c r="W29">
        <v>17.866666666666671</v>
      </c>
      <c r="X29">
        <v>3.2</v>
      </c>
      <c r="Y29">
        <v>65.599999999999994</v>
      </c>
      <c r="Z29">
        <v>0.53333333333333333</v>
      </c>
    </row>
    <row r="30" spans="1:26" x14ac:dyDescent="0.25">
      <c r="A30" t="s">
        <v>36</v>
      </c>
      <c r="B30" t="s">
        <v>31</v>
      </c>
      <c r="C30">
        <v>2.666666666666667</v>
      </c>
      <c r="D30">
        <v>0</v>
      </c>
      <c r="E30">
        <v>4.2666666666666666</v>
      </c>
      <c r="F30">
        <v>0.53333333333333333</v>
      </c>
      <c r="G30">
        <v>0</v>
      </c>
      <c r="H30">
        <v>0</v>
      </c>
      <c r="I30">
        <v>0</v>
      </c>
      <c r="J30">
        <v>0.26666666666666672</v>
      </c>
      <c r="K30">
        <v>0</v>
      </c>
      <c r="L30">
        <v>0</v>
      </c>
      <c r="M30">
        <v>0.26666666666666672</v>
      </c>
      <c r="N30">
        <v>0</v>
      </c>
      <c r="O30">
        <v>0</v>
      </c>
      <c r="P30">
        <v>0</v>
      </c>
      <c r="Q30">
        <v>2.9333333333333331</v>
      </c>
      <c r="R30">
        <v>0</v>
      </c>
      <c r="S30">
        <v>0</v>
      </c>
      <c r="T30">
        <v>0.26666666666666672</v>
      </c>
      <c r="U30">
        <v>0</v>
      </c>
      <c r="V30">
        <v>0</v>
      </c>
      <c r="W30">
        <v>20</v>
      </c>
      <c r="X30">
        <v>4</v>
      </c>
      <c r="Y30">
        <v>62.4</v>
      </c>
      <c r="Z30">
        <v>2.4</v>
      </c>
    </row>
    <row r="31" spans="1:26" x14ac:dyDescent="0.25">
      <c r="A31" t="s">
        <v>36</v>
      </c>
      <c r="B31" t="s">
        <v>32</v>
      </c>
      <c r="C31">
        <v>6.4</v>
      </c>
      <c r="D31">
        <v>0</v>
      </c>
      <c r="E31">
        <v>0.53333333333333333</v>
      </c>
      <c r="F31">
        <v>0.26666666666666672</v>
      </c>
      <c r="G31">
        <v>0</v>
      </c>
      <c r="H31">
        <v>0</v>
      </c>
      <c r="I31">
        <v>0</v>
      </c>
      <c r="J31">
        <v>0.26666666666666672</v>
      </c>
      <c r="K31">
        <v>0.26666666666666672</v>
      </c>
      <c r="L31">
        <v>0</v>
      </c>
      <c r="M31">
        <v>0.26666666666666672</v>
      </c>
      <c r="N31">
        <v>0.53333333333333333</v>
      </c>
      <c r="O31">
        <v>0</v>
      </c>
      <c r="P31">
        <v>0</v>
      </c>
      <c r="Q31">
        <v>1.8666666666666669</v>
      </c>
      <c r="R31">
        <v>0</v>
      </c>
      <c r="S31">
        <v>0</v>
      </c>
      <c r="T31">
        <v>0.53333333333333333</v>
      </c>
      <c r="U31">
        <v>0</v>
      </c>
      <c r="V31">
        <v>0</v>
      </c>
      <c r="W31">
        <v>26.4</v>
      </c>
      <c r="X31">
        <v>2.9333333333333331</v>
      </c>
      <c r="Y31">
        <v>57.866666666666667</v>
      </c>
      <c r="Z31">
        <v>1.8666666666666669</v>
      </c>
    </row>
    <row r="32" spans="1:26" x14ac:dyDescent="0.25">
      <c r="A32" t="s">
        <v>37</v>
      </c>
      <c r="B32" t="s">
        <v>27</v>
      </c>
      <c r="C32">
        <v>0</v>
      </c>
      <c r="D32">
        <v>0</v>
      </c>
      <c r="E32">
        <v>15.733333333333331</v>
      </c>
      <c r="F32">
        <v>0</v>
      </c>
      <c r="G32">
        <v>0</v>
      </c>
      <c r="H32">
        <v>0</v>
      </c>
      <c r="I32">
        <v>0</v>
      </c>
      <c r="J32">
        <v>0.53333333333333333</v>
      </c>
      <c r="K32">
        <v>0.26666666666666672</v>
      </c>
      <c r="L32">
        <v>0</v>
      </c>
      <c r="M32">
        <v>1.6</v>
      </c>
      <c r="N32">
        <v>1.333333333333333</v>
      </c>
      <c r="O32">
        <v>0</v>
      </c>
      <c r="P32">
        <v>0</v>
      </c>
      <c r="Q32">
        <v>0.26666666666666672</v>
      </c>
      <c r="R32">
        <v>0</v>
      </c>
      <c r="S32">
        <v>0.8</v>
      </c>
      <c r="T32">
        <v>0.26666666666666672</v>
      </c>
      <c r="U32">
        <v>0</v>
      </c>
      <c r="V32">
        <v>0</v>
      </c>
      <c r="W32">
        <v>5.6</v>
      </c>
      <c r="X32">
        <v>2.9333333333333331</v>
      </c>
      <c r="Y32">
        <v>66.933333333333337</v>
      </c>
      <c r="Z32">
        <v>3.7333333333333329</v>
      </c>
    </row>
    <row r="33" spans="1:26" x14ac:dyDescent="0.25">
      <c r="A33" t="s">
        <v>37</v>
      </c>
      <c r="B33" t="s">
        <v>28</v>
      </c>
      <c r="C33">
        <v>0</v>
      </c>
      <c r="D33">
        <v>0</v>
      </c>
      <c r="E33">
        <v>19.2</v>
      </c>
      <c r="F33">
        <v>0</v>
      </c>
      <c r="G33">
        <v>0</v>
      </c>
      <c r="H33">
        <v>0.53333333333333333</v>
      </c>
      <c r="I33">
        <v>0.26666666666666672</v>
      </c>
      <c r="J33">
        <v>0.26666666666666672</v>
      </c>
      <c r="K33">
        <v>0</v>
      </c>
      <c r="L33">
        <v>0</v>
      </c>
      <c r="M33">
        <v>0.26666666666666672</v>
      </c>
      <c r="N33">
        <v>0</v>
      </c>
      <c r="O33">
        <v>0</v>
      </c>
      <c r="P33">
        <v>0</v>
      </c>
      <c r="Q33">
        <v>0.53333333333333333</v>
      </c>
      <c r="R33">
        <v>0</v>
      </c>
      <c r="S33">
        <v>0</v>
      </c>
      <c r="T33">
        <v>0.26666666666666672</v>
      </c>
      <c r="U33">
        <v>0</v>
      </c>
      <c r="V33">
        <v>0</v>
      </c>
      <c r="W33">
        <v>13.33333333333333</v>
      </c>
      <c r="X33">
        <v>3.2</v>
      </c>
      <c r="Y33">
        <v>57.6</v>
      </c>
      <c r="Z33">
        <v>4.5333333333333332</v>
      </c>
    </row>
    <row r="34" spans="1:26" x14ac:dyDescent="0.25">
      <c r="A34" t="s">
        <v>37</v>
      </c>
      <c r="B34" t="s">
        <v>29</v>
      </c>
      <c r="C34">
        <v>3.7333333333333329</v>
      </c>
      <c r="D34">
        <v>0</v>
      </c>
      <c r="E34">
        <v>17.333333333333329</v>
      </c>
      <c r="F34">
        <v>0</v>
      </c>
      <c r="G34">
        <v>0</v>
      </c>
      <c r="H34">
        <v>0</v>
      </c>
      <c r="I34">
        <v>0.26666666666666672</v>
      </c>
      <c r="J34">
        <v>0.53333333333333333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0.8</v>
      </c>
      <c r="R34">
        <v>0</v>
      </c>
      <c r="S34">
        <v>1.8666666666666669</v>
      </c>
      <c r="T34">
        <v>0</v>
      </c>
      <c r="U34">
        <v>0</v>
      </c>
      <c r="V34">
        <v>0</v>
      </c>
      <c r="W34">
        <v>9.8666666666666671</v>
      </c>
      <c r="X34">
        <v>3.7333333333333329</v>
      </c>
      <c r="Y34">
        <v>60.533333333333331</v>
      </c>
      <c r="Z34">
        <v>1.333333333333333</v>
      </c>
    </row>
    <row r="35" spans="1:26" x14ac:dyDescent="0.25">
      <c r="A35" t="s">
        <v>37</v>
      </c>
      <c r="B35" t="s">
        <v>30</v>
      </c>
      <c r="C35">
        <v>0.53333333333333333</v>
      </c>
      <c r="D35">
        <v>0</v>
      </c>
      <c r="E35">
        <v>4.8</v>
      </c>
      <c r="F35">
        <v>2.4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1.6</v>
      </c>
      <c r="N35">
        <v>2.9333333333333331</v>
      </c>
      <c r="O35">
        <v>0</v>
      </c>
      <c r="P35">
        <v>0</v>
      </c>
      <c r="Q35">
        <v>1.333333333333333</v>
      </c>
      <c r="R35">
        <v>0</v>
      </c>
      <c r="S35">
        <v>8.2666666666666675</v>
      </c>
      <c r="T35">
        <v>0.53333333333333333</v>
      </c>
      <c r="U35">
        <v>0</v>
      </c>
      <c r="V35">
        <v>0</v>
      </c>
      <c r="W35">
        <v>8</v>
      </c>
      <c r="X35">
        <v>1.8666666666666669</v>
      </c>
      <c r="Y35">
        <v>64.533333333333331</v>
      </c>
      <c r="Z35">
        <v>3.2</v>
      </c>
    </row>
    <row r="36" spans="1:26" x14ac:dyDescent="0.25">
      <c r="A36" t="s">
        <v>37</v>
      </c>
      <c r="B36" t="s">
        <v>31</v>
      </c>
      <c r="C36">
        <v>0</v>
      </c>
      <c r="D36">
        <v>0</v>
      </c>
      <c r="E36">
        <v>12.8</v>
      </c>
      <c r="F36">
        <v>0.53333333333333333</v>
      </c>
      <c r="G36">
        <v>0</v>
      </c>
      <c r="H36">
        <v>0</v>
      </c>
      <c r="I36">
        <v>0.26666666666666672</v>
      </c>
      <c r="J36">
        <v>1.0666666666666671</v>
      </c>
      <c r="K36">
        <v>0.26666666666666672</v>
      </c>
      <c r="L36">
        <v>0</v>
      </c>
      <c r="M36">
        <v>3.7333333333333329</v>
      </c>
      <c r="N36">
        <v>0.8</v>
      </c>
      <c r="O36">
        <v>0</v>
      </c>
      <c r="P36">
        <v>0</v>
      </c>
      <c r="Q36">
        <v>0</v>
      </c>
      <c r="R36">
        <v>0</v>
      </c>
      <c r="S36">
        <v>2.9333333333333331</v>
      </c>
      <c r="T36">
        <v>0.26666666666666672</v>
      </c>
      <c r="U36">
        <v>0</v>
      </c>
      <c r="V36">
        <v>0</v>
      </c>
      <c r="W36">
        <v>8.2666666666666675</v>
      </c>
      <c r="X36">
        <v>5.8666666666666663</v>
      </c>
      <c r="Y36">
        <v>60</v>
      </c>
      <c r="Z36">
        <v>3.2</v>
      </c>
    </row>
    <row r="37" spans="1:26" x14ac:dyDescent="0.25">
      <c r="A37" t="s">
        <v>37</v>
      </c>
      <c r="B37" t="s">
        <v>32</v>
      </c>
      <c r="C37">
        <v>0.53333333333333333</v>
      </c>
      <c r="D37">
        <v>0</v>
      </c>
      <c r="E37">
        <v>11.2</v>
      </c>
      <c r="F37">
        <v>0</v>
      </c>
      <c r="G37">
        <v>0</v>
      </c>
      <c r="H37">
        <v>0</v>
      </c>
      <c r="I37">
        <v>0</v>
      </c>
      <c r="J37">
        <v>2.666666666666667</v>
      </c>
      <c r="K37">
        <v>0</v>
      </c>
      <c r="L37">
        <v>0</v>
      </c>
      <c r="M37">
        <v>0</v>
      </c>
      <c r="N37">
        <v>0.26666666666666672</v>
      </c>
      <c r="O37">
        <v>0</v>
      </c>
      <c r="P37">
        <v>0</v>
      </c>
      <c r="Q37">
        <v>1.0666666666666671</v>
      </c>
      <c r="R37">
        <v>0</v>
      </c>
      <c r="S37">
        <v>2.1333333333333329</v>
      </c>
      <c r="T37">
        <v>0</v>
      </c>
      <c r="U37">
        <v>0</v>
      </c>
      <c r="V37">
        <v>0</v>
      </c>
      <c r="W37">
        <v>15.733333333333331</v>
      </c>
      <c r="X37">
        <v>2.666666666666667</v>
      </c>
      <c r="Y37">
        <v>51.466666666666669</v>
      </c>
      <c r="Z37">
        <v>12.266666666666669</v>
      </c>
    </row>
    <row r="38" spans="1:26" x14ac:dyDescent="0.25">
      <c r="A38" t="s">
        <v>38</v>
      </c>
      <c r="B38" t="s">
        <v>27</v>
      </c>
      <c r="C38">
        <v>0</v>
      </c>
      <c r="D38">
        <v>0</v>
      </c>
      <c r="E38">
        <v>0.8</v>
      </c>
      <c r="F38">
        <v>0.26666666666666672</v>
      </c>
      <c r="G38">
        <v>1.0666666666666671</v>
      </c>
      <c r="H38">
        <v>0</v>
      </c>
      <c r="I38">
        <v>0</v>
      </c>
      <c r="J38">
        <v>0.26666666666666672</v>
      </c>
      <c r="K38">
        <v>0</v>
      </c>
      <c r="L38">
        <v>0</v>
      </c>
      <c r="M38">
        <v>0.26666666666666672</v>
      </c>
      <c r="N38">
        <v>0.8</v>
      </c>
      <c r="O38">
        <v>0.26666666666666672</v>
      </c>
      <c r="P38">
        <v>2.9333333333333331</v>
      </c>
      <c r="Q38">
        <v>1.8666666666666669</v>
      </c>
      <c r="R38">
        <v>0</v>
      </c>
      <c r="S38">
        <v>9.3333333333333339</v>
      </c>
      <c r="T38">
        <v>3.4666666666666668</v>
      </c>
      <c r="U38">
        <v>0</v>
      </c>
      <c r="V38">
        <v>0</v>
      </c>
      <c r="W38">
        <v>4.5333333333333332</v>
      </c>
      <c r="X38">
        <v>0</v>
      </c>
      <c r="Y38">
        <v>59.2</v>
      </c>
      <c r="Z38">
        <v>14.93333333333333</v>
      </c>
    </row>
    <row r="39" spans="1:26" x14ac:dyDescent="0.25">
      <c r="A39" t="s">
        <v>38</v>
      </c>
      <c r="B39" t="s">
        <v>28</v>
      </c>
      <c r="C39">
        <v>0</v>
      </c>
      <c r="D39">
        <v>0</v>
      </c>
      <c r="E39">
        <v>1.333333333333333</v>
      </c>
      <c r="F39">
        <v>0</v>
      </c>
      <c r="G39">
        <v>2.4</v>
      </c>
      <c r="H39">
        <v>0</v>
      </c>
      <c r="I39">
        <v>0</v>
      </c>
      <c r="J39">
        <v>0</v>
      </c>
      <c r="K39">
        <v>0</v>
      </c>
      <c r="L39">
        <v>0</v>
      </c>
      <c r="M39">
        <v>3.2</v>
      </c>
      <c r="N39">
        <v>0.8</v>
      </c>
      <c r="O39">
        <v>0</v>
      </c>
      <c r="P39">
        <v>1.8666666666666669</v>
      </c>
      <c r="Q39">
        <v>1.8666666666666669</v>
      </c>
      <c r="R39">
        <v>0</v>
      </c>
      <c r="S39">
        <v>6.9333333333333336</v>
      </c>
      <c r="T39">
        <v>3.4666666666666668</v>
      </c>
      <c r="U39">
        <v>0</v>
      </c>
      <c r="V39">
        <v>0</v>
      </c>
      <c r="W39">
        <v>4.8</v>
      </c>
      <c r="X39">
        <v>2.1333333333333329</v>
      </c>
      <c r="Y39">
        <v>64</v>
      </c>
      <c r="Z39">
        <v>7.2</v>
      </c>
    </row>
    <row r="40" spans="1:26" x14ac:dyDescent="0.25">
      <c r="A40" t="s">
        <v>38</v>
      </c>
      <c r="B40" t="s">
        <v>29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0.26666666666666672</v>
      </c>
      <c r="L40">
        <v>0</v>
      </c>
      <c r="M40">
        <v>0</v>
      </c>
      <c r="N40">
        <v>0</v>
      </c>
      <c r="O40">
        <v>0</v>
      </c>
      <c r="P40">
        <v>0</v>
      </c>
      <c r="Q40">
        <v>2.9333333333333331</v>
      </c>
      <c r="R40">
        <v>0</v>
      </c>
      <c r="S40">
        <v>5.6</v>
      </c>
      <c r="T40">
        <v>2.4</v>
      </c>
      <c r="U40">
        <v>0</v>
      </c>
      <c r="V40">
        <v>0</v>
      </c>
      <c r="W40">
        <v>1.6</v>
      </c>
      <c r="X40">
        <v>2.1333333333333329</v>
      </c>
      <c r="Y40">
        <v>77.333333333333329</v>
      </c>
      <c r="Z40">
        <v>7.7333333333333334</v>
      </c>
    </row>
    <row r="41" spans="1:26" x14ac:dyDescent="0.25">
      <c r="A41" t="s">
        <v>38</v>
      </c>
      <c r="B41" t="s">
        <v>30</v>
      </c>
      <c r="C41">
        <v>0</v>
      </c>
      <c r="D41">
        <v>0</v>
      </c>
      <c r="E41">
        <v>0.26666666666666672</v>
      </c>
      <c r="F41">
        <v>0</v>
      </c>
      <c r="G41">
        <v>0</v>
      </c>
      <c r="H41">
        <v>0</v>
      </c>
      <c r="I41">
        <v>0</v>
      </c>
      <c r="J41">
        <v>0</v>
      </c>
      <c r="K41">
        <v>0.26666666666666672</v>
      </c>
      <c r="L41">
        <v>0</v>
      </c>
      <c r="M41">
        <v>0</v>
      </c>
      <c r="N41">
        <v>0</v>
      </c>
      <c r="O41">
        <v>0</v>
      </c>
      <c r="P41">
        <v>0</v>
      </c>
      <c r="Q41">
        <v>2.1333333333333329</v>
      </c>
      <c r="R41">
        <v>0</v>
      </c>
      <c r="S41">
        <v>7.4666666666666668</v>
      </c>
      <c r="T41">
        <v>1.6</v>
      </c>
      <c r="U41">
        <v>0</v>
      </c>
      <c r="V41">
        <v>0</v>
      </c>
      <c r="W41">
        <v>2.1333333333333329</v>
      </c>
      <c r="X41">
        <v>2.4</v>
      </c>
      <c r="Y41">
        <v>78.666666666666671</v>
      </c>
      <c r="Z41">
        <v>5.0666666666666664</v>
      </c>
    </row>
    <row r="42" spans="1:26" x14ac:dyDescent="0.25">
      <c r="A42" t="s">
        <v>38</v>
      </c>
      <c r="B42" t="s">
        <v>31</v>
      </c>
      <c r="C42">
        <v>0</v>
      </c>
      <c r="D42">
        <v>0</v>
      </c>
      <c r="E42">
        <v>0</v>
      </c>
      <c r="F42">
        <v>0</v>
      </c>
      <c r="G42">
        <v>0.26666666666666672</v>
      </c>
      <c r="H42">
        <v>0</v>
      </c>
      <c r="I42">
        <v>0</v>
      </c>
      <c r="J42">
        <v>0</v>
      </c>
      <c r="K42">
        <v>0</v>
      </c>
      <c r="L42">
        <v>0</v>
      </c>
      <c r="M42">
        <v>3.2</v>
      </c>
      <c r="N42">
        <v>0.26666666666666672</v>
      </c>
      <c r="O42">
        <v>0</v>
      </c>
      <c r="P42">
        <v>0</v>
      </c>
      <c r="Q42">
        <v>0.8</v>
      </c>
      <c r="R42">
        <v>0</v>
      </c>
      <c r="S42">
        <v>0.8</v>
      </c>
      <c r="T42">
        <v>0.8</v>
      </c>
      <c r="U42">
        <v>0</v>
      </c>
      <c r="V42">
        <v>0</v>
      </c>
      <c r="W42">
        <v>1.8666666666666669</v>
      </c>
      <c r="X42">
        <v>0.53333333333333333</v>
      </c>
      <c r="Y42">
        <v>81.333333333333329</v>
      </c>
      <c r="Z42">
        <v>10.133333333333329</v>
      </c>
    </row>
    <row r="43" spans="1:26" x14ac:dyDescent="0.25">
      <c r="A43" t="s">
        <v>38</v>
      </c>
      <c r="B43" t="s">
        <v>32</v>
      </c>
      <c r="C43">
        <v>0</v>
      </c>
      <c r="D43">
        <v>0</v>
      </c>
      <c r="E43">
        <v>1.6</v>
      </c>
      <c r="F43">
        <v>0.26666666666666672</v>
      </c>
      <c r="G43">
        <v>0.26666666666666672</v>
      </c>
      <c r="H43">
        <v>0</v>
      </c>
      <c r="I43">
        <v>0</v>
      </c>
      <c r="J43">
        <v>0</v>
      </c>
      <c r="K43">
        <v>0</v>
      </c>
      <c r="L43">
        <v>0</v>
      </c>
      <c r="M43">
        <v>2.666666666666667</v>
      </c>
      <c r="N43">
        <v>0</v>
      </c>
      <c r="O43">
        <v>0</v>
      </c>
      <c r="P43">
        <v>0</v>
      </c>
      <c r="Q43">
        <v>2.9333333333333331</v>
      </c>
      <c r="R43">
        <v>0</v>
      </c>
      <c r="S43">
        <v>1.6</v>
      </c>
      <c r="T43">
        <v>1.333333333333333</v>
      </c>
      <c r="U43">
        <v>0</v>
      </c>
      <c r="V43">
        <v>0</v>
      </c>
      <c r="W43">
        <v>0.8</v>
      </c>
      <c r="X43">
        <v>0.53333333333333333</v>
      </c>
      <c r="Y43">
        <v>83.466666666666669</v>
      </c>
      <c r="Z43">
        <v>4.5333333333333332</v>
      </c>
    </row>
    <row r="44" spans="1:26" x14ac:dyDescent="0.25">
      <c r="A44" t="s">
        <v>39</v>
      </c>
      <c r="B44" t="s">
        <v>27</v>
      </c>
      <c r="C44">
        <v>0</v>
      </c>
      <c r="D44">
        <v>0</v>
      </c>
      <c r="E44">
        <v>0.26666666666666672</v>
      </c>
      <c r="F44">
        <v>1.6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1.0666666666666671</v>
      </c>
      <c r="N44">
        <v>13.06666666666667</v>
      </c>
      <c r="O44">
        <v>0</v>
      </c>
      <c r="P44">
        <v>2.9333333333333331</v>
      </c>
      <c r="Q44">
        <v>1.0666666666666671</v>
      </c>
      <c r="R44">
        <v>0</v>
      </c>
      <c r="S44">
        <v>0</v>
      </c>
      <c r="T44">
        <v>1.0666666666666671</v>
      </c>
      <c r="U44">
        <v>0</v>
      </c>
      <c r="V44">
        <v>0</v>
      </c>
      <c r="W44">
        <v>3.4666666666666668</v>
      </c>
      <c r="X44">
        <v>0.26666666666666672</v>
      </c>
      <c r="Y44">
        <v>71.733333333333334</v>
      </c>
      <c r="Z44">
        <v>3.4666666666666668</v>
      </c>
    </row>
    <row r="45" spans="1:26" x14ac:dyDescent="0.25">
      <c r="A45" t="s">
        <v>39</v>
      </c>
      <c r="B45" t="s">
        <v>28</v>
      </c>
      <c r="C45">
        <v>0</v>
      </c>
      <c r="D45">
        <v>0</v>
      </c>
      <c r="E45">
        <v>0</v>
      </c>
      <c r="F45">
        <v>11.2</v>
      </c>
      <c r="G45">
        <v>0</v>
      </c>
      <c r="H45">
        <v>0</v>
      </c>
      <c r="I45">
        <v>0</v>
      </c>
      <c r="J45">
        <v>0.26666666666666672</v>
      </c>
      <c r="K45">
        <v>0</v>
      </c>
      <c r="L45">
        <v>0.26666666666666672</v>
      </c>
      <c r="M45">
        <v>1.0666666666666671</v>
      </c>
      <c r="N45">
        <v>8.2666666666666675</v>
      </c>
      <c r="O45">
        <v>0</v>
      </c>
      <c r="P45">
        <v>0</v>
      </c>
      <c r="Q45">
        <v>1.333333333333333</v>
      </c>
      <c r="R45">
        <v>0</v>
      </c>
      <c r="S45">
        <v>0</v>
      </c>
      <c r="T45">
        <v>0.26666666666666672</v>
      </c>
      <c r="U45">
        <v>0</v>
      </c>
      <c r="V45">
        <v>0</v>
      </c>
      <c r="W45">
        <v>2.1333333333333329</v>
      </c>
      <c r="X45">
        <v>0</v>
      </c>
      <c r="Y45">
        <v>68.266666666666666</v>
      </c>
      <c r="Z45">
        <v>6.9333333333333336</v>
      </c>
    </row>
    <row r="46" spans="1:26" x14ac:dyDescent="0.25">
      <c r="A46" t="s">
        <v>39</v>
      </c>
      <c r="B46" t="s">
        <v>29</v>
      </c>
      <c r="C46">
        <v>0</v>
      </c>
      <c r="D46">
        <v>0</v>
      </c>
      <c r="E46">
        <v>0</v>
      </c>
      <c r="F46">
        <v>22.4</v>
      </c>
      <c r="G46">
        <v>0</v>
      </c>
      <c r="H46">
        <v>0</v>
      </c>
      <c r="I46">
        <v>0</v>
      </c>
      <c r="J46">
        <v>0.53333333333333333</v>
      </c>
      <c r="K46">
        <v>0</v>
      </c>
      <c r="L46">
        <v>0</v>
      </c>
      <c r="M46">
        <v>2.4</v>
      </c>
      <c r="N46">
        <v>4</v>
      </c>
      <c r="O46">
        <v>0</v>
      </c>
      <c r="P46">
        <v>0.53333333333333333</v>
      </c>
      <c r="Q46">
        <v>1.0666666666666671</v>
      </c>
      <c r="R46">
        <v>0</v>
      </c>
      <c r="S46">
        <v>0</v>
      </c>
      <c r="T46">
        <v>0.26666666666666672</v>
      </c>
      <c r="U46">
        <v>0</v>
      </c>
      <c r="V46">
        <v>0</v>
      </c>
      <c r="W46">
        <v>3.2</v>
      </c>
      <c r="X46">
        <v>0.53333333333333333</v>
      </c>
      <c r="Y46">
        <v>61.06666666666667</v>
      </c>
      <c r="Z46">
        <v>4</v>
      </c>
    </row>
    <row r="47" spans="1:26" x14ac:dyDescent="0.25">
      <c r="A47" t="s">
        <v>39</v>
      </c>
      <c r="B47" t="s">
        <v>30</v>
      </c>
      <c r="C47">
        <v>0</v>
      </c>
      <c r="D47">
        <v>0</v>
      </c>
      <c r="E47">
        <v>0</v>
      </c>
      <c r="F47">
        <v>24.266666666666669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1.0666666666666671</v>
      </c>
      <c r="N47">
        <v>6.9333333333333336</v>
      </c>
      <c r="O47">
        <v>0</v>
      </c>
      <c r="P47">
        <v>0</v>
      </c>
      <c r="Q47">
        <v>1.0666666666666671</v>
      </c>
      <c r="R47">
        <v>0</v>
      </c>
      <c r="S47">
        <v>0</v>
      </c>
      <c r="T47">
        <v>0</v>
      </c>
      <c r="U47">
        <v>0</v>
      </c>
      <c r="V47">
        <v>0</v>
      </c>
      <c r="W47">
        <v>1.0666666666666671</v>
      </c>
      <c r="X47">
        <v>0.26666666666666672</v>
      </c>
      <c r="Y47">
        <v>63.466666666666669</v>
      </c>
      <c r="Z47">
        <v>1.8666666666666669</v>
      </c>
    </row>
    <row r="48" spans="1:26" x14ac:dyDescent="0.25">
      <c r="A48" t="s">
        <v>39</v>
      </c>
      <c r="B48" t="s">
        <v>31</v>
      </c>
      <c r="C48">
        <v>0</v>
      </c>
      <c r="D48">
        <v>0</v>
      </c>
      <c r="E48">
        <v>0</v>
      </c>
      <c r="F48">
        <v>36.266666666666673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0.26666666666666672</v>
      </c>
      <c r="N48">
        <v>5.333333333333333</v>
      </c>
      <c r="O48">
        <v>0</v>
      </c>
      <c r="P48">
        <v>0</v>
      </c>
      <c r="Q48">
        <v>0.26666666666666672</v>
      </c>
      <c r="R48">
        <v>0</v>
      </c>
      <c r="S48">
        <v>0</v>
      </c>
      <c r="T48">
        <v>0</v>
      </c>
      <c r="U48">
        <v>0</v>
      </c>
      <c r="V48">
        <v>0</v>
      </c>
      <c r="W48">
        <v>1.333333333333333</v>
      </c>
      <c r="X48">
        <v>0.26666666666666672</v>
      </c>
      <c r="Y48">
        <v>54.666666666666657</v>
      </c>
      <c r="Z48">
        <v>1.6</v>
      </c>
    </row>
    <row r="49" spans="1:26" x14ac:dyDescent="0.25">
      <c r="A49" t="s">
        <v>39</v>
      </c>
      <c r="B49" t="s">
        <v>32</v>
      </c>
      <c r="C49">
        <v>0</v>
      </c>
      <c r="D49">
        <v>0</v>
      </c>
      <c r="E49">
        <v>0.53333333333333333</v>
      </c>
      <c r="F49">
        <v>26.666666666666671</v>
      </c>
      <c r="G49">
        <v>0</v>
      </c>
      <c r="H49">
        <v>0</v>
      </c>
      <c r="I49">
        <v>0</v>
      </c>
      <c r="J49">
        <v>0.26666666666666672</v>
      </c>
      <c r="K49">
        <v>0</v>
      </c>
      <c r="L49">
        <v>0</v>
      </c>
      <c r="M49">
        <v>1.333333333333333</v>
      </c>
      <c r="N49">
        <v>3.2</v>
      </c>
      <c r="O49">
        <v>0</v>
      </c>
      <c r="P49">
        <v>0</v>
      </c>
      <c r="Q49">
        <v>1.6</v>
      </c>
      <c r="R49">
        <v>0</v>
      </c>
      <c r="S49">
        <v>0</v>
      </c>
      <c r="T49">
        <v>0</v>
      </c>
      <c r="U49">
        <v>0</v>
      </c>
      <c r="V49">
        <v>0</v>
      </c>
      <c r="W49">
        <v>1.333333333333333</v>
      </c>
      <c r="X49">
        <v>0.26666666666666672</v>
      </c>
      <c r="Y49">
        <v>61.333333333333343</v>
      </c>
      <c r="Z49">
        <v>3.4666666666666668</v>
      </c>
    </row>
    <row r="50" spans="1:26" x14ac:dyDescent="0.25">
      <c r="A50" t="s">
        <v>40</v>
      </c>
      <c r="B50" t="s">
        <v>27</v>
      </c>
      <c r="C50">
        <v>0</v>
      </c>
      <c r="D50">
        <v>0</v>
      </c>
      <c r="E50">
        <v>3.4666666666666668</v>
      </c>
      <c r="F50">
        <v>0</v>
      </c>
      <c r="G50">
        <v>3.4666666666666668</v>
      </c>
      <c r="H50">
        <v>0</v>
      </c>
      <c r="I50">
        <v>0</v>
      </c>
      <c r="J50">
        <v>0</v>
      </c>
      <c r="K50">
        <v>0</v>
      </c>
      <c r="L50">
        <v>0</v>
      </c>
      <c r="M50">
        <v>2.666666666666667</v>
      </c>
      <c r="N50">
        <v>1.6</v>
      </c>
      <c r="O50">
        <v>0</v>
      </c>
      <c r="P50">
        <v>0.26666666666666672</v>
      </c>
      <c r="Q50">
        <v>2.4</v>
      </c>
      <c r="R50">
        <v>0</v>
      </c>
      <c r="S50">
        <v>3.2</v>
      </c>
      <c r="T50">
        <v>14.4</v>
      </c>
      <c r="U50">
        <v>0</v>
      </c>
      <c r="V50">
        <v>0</v>
      </c>
      <c r="W50">
        <v>1.8666666666666669</v>
      </c>
      <c r="X50">
        <v>0.26666666666666672</v>
      </c>
      <c r="Y50">
        <v>63.733333333333327</v>
      </c>
      <c r="Z50">
        <v>2.666666666666667</v>
      </c>
    </row>
    <row r="51" spans="1:26" x14ac:dyDescent="0.25">
      <c r="A51" t="s">
        <v>40</v>
      </c>
      <c r="B51" t="s">
        <v>28</v>
      </c>
      <c r="C51">
        <v>1.333333333333333</v>
      </c>
      <c r="D51">
        <v>0</v>
      </c>
      <c r="E51">
        <v>4</v>
      </c>
      <c r="F51">
        <v>2.4</v>
      </c>
      <c r="G51">
        <v>1.8666666666666669</v>
      </c>
      <c r="H51">
        <v>0</v>
      </c>
      <c r="I51">
        <v>0</v>
      </c>
      <c r="J51">
        <v>0</v>
      </c>
      <c r="K51">
        <v>0</v>
      </c>
      <c r="L51">
        <v>0</v>
      </c>
      <c r="M51">
        <v>0.53333333333333333</v>
      </c>
      <c r="N51">
        <v>1.333333333333333</v>
      </c>
      <c r="O51">
        <v>0</v>
      </c>
      <c r="P51">
        <v>0</v>
      </c>
      <c r="Q51">
        <v>1.333333333333333</v>
      </c>
      <c r="R51">
        <v>0</v>
      </c>
      <c r="S51">
        <v>4</v>
      </c>
      <c r="T51">
        <v>15.2</v>
      </c>
      <c r="U51">
        <v>0</v>
      </c>
      <c r="V51">
        <v>0</v>
      </c>
      <c r="W51">
        <v>2.1333333333333329</v>
      </c>
      <c r="X51">
        <v>0.26666666666666672</v>
      </c>
      <c r="Y51">
        <v>64.266666666666666</v>
      </c>
      <c r="Z51">
        <v>1.333333333333333</v>
      </c>
    </row>
    <row r="52" spans="1:26" x14ac:dyDescent="0.25">
      <c r="A52" t="s">
        <v>40</v>
      </c>
      <c r="B52" t="s">
        <v>29</v>
      </c>
      <c r="C52">
        <v>0</v>
      </c>
      <c r="D52">
        <v>0</v>
      </c>
      <c r="E52">
        <v>4.5333333333333332</v>
      </c>
      <c r="F52">
        <v>0</v>
      </c>
      <c r="G52">
        <v>2.9333333333333331</v>
      </c>
      <c r="H52">
        <v>0</v>
      </c>
      <c r="I52">
        <v>0</v>
      </c>
      <c r="J52">
        <v>0</v>
      </c>
      <c r="K52">
        <v>0</v>
      </c>
      <c r="L52">
        <v>0</v>
      </c>
      <c r="M52">
        <v>0.53333333333333333</v>
      </c>
      <c r="N52">
        <v>0</v>
      </c>
      <c r="O52">
        <v>0</v>
      </c>
      <c r="P52">
        <v>0</v>
      </c>
      <c r="Q52">
        <v>0.8</v>
      </c>
      <c r="R52">
        <v>0</v>
      </c>
      <c r="S52">
        <v>2.4</v>
      </c>
      <c r="T52">
        <v>20.8</v>
      </c>
      <c r="U52">
        <v>0</v>
      </c>
      <c r="V52">
        <v>0</v>
      </c>
      <c r="W52">
        <v>0.8</v>
      </c>
      <c r="X52">
        <v>0.26666666666666672</v>
      </c>
      <c r="Y52">
        <v>63.2</v>
      </c>
      <c r="Z52">
        <v>3.7333333333333329</v>
      </c>
    </row>
    <row r="53" spans="1:26" x14ac:dyDescent="0.25">
      <c r="A53" t="s">
        <v>40</v>
      </c>
      <c r="B53" t="s">
        <v>30</v>
      </c>
      <c r="C53">
        <v>0</v>
      </c>
      <c r="D53">
        <v>0</v>
      </c>
      <c r="E53">
        <v>4.5333333333333332</v>
      </c>
      <c r="F53">
        <v>1.333333333333333</v>
      </c>
      <c r="G53">
        <v>4</v>
      </c>
      <c r="H53">
        <v>0</v>
      </c>
      <c r="I53">
        <v>0</v>
      </c>
      <c r="J53">
        <v>0</v>
      </c>
      <c r="K53">
        <v>0.26666666666666672</v>
      </c>
      <c r="L53">
        <v>0</v>
      </c>
      <c r="M53">
        <v>0</v>
      </c>
      <c r="N53">
        <v>0</v>
      </c>
      <c r="O53">
        <v>0</v>
      </c>
      <c r="P53">
        <v>0</v>
      </c>
      <c r="Q53">
        <v>0.26666666666666672</v>
      </c>
      <c r="R53">
        <v>0</v>
      </c>
      <c r="S53">
        <v>3.7333333333333329</v>
      </c>
      <c r="T53">
        <v>17.06666666666667</v>
      </c>
      <c r="U53">
        <v>0</v>
      </c>
      <c r="V53">
        <v>0</v>
      </c>
      <c r="W53">
        <v>1.6</v>
      </c>
      <c r="X53">
        <v>1.0666666666666671</v>
      </c>
      <c r="Y53">
        <v>62.4</v>
      </c>
      <c r="Z53">
        <v>3.7333333333333329</v>
      </c>
    </row>
    <row r="54" spans="1:26" x14ac:dyDescent="0.25">
      <c r="A54" t="s">
        <v>40</v>
      </c>
      <c r="B54" t="s">
        <v>31</v>
      </c>
      <c r="C54">
        <v>0</v>
      </c>
      <c r="D54">
        <v>0</v>
      </c>
      <c r="E54">
        <v>1.333333333333333</v>
      </c>
      <c r="F54">
        <v>9.6</v>
      </c>
      <c r="G54">
        <v>0.26666666666666672</v>
      </c>
      <c r="H54">
        <v>0</v>
      </c>
      <c r="I54">
        <v>0</v>
      </c>
      <c r="J54">
        <v>0</v>
      </c>
      <c r="K54">
        <v>0.26666666666666672</v>
      </c>
      <c r="L54">
        <v>0</v>
      </c>
      <c r="M54">
        <v>0.53333333333333333</v>
      </c>
      <c r="N54">
        <v>1.0666666666666671</v>
      </c>
      <c r="O54">
        <v>0</v>
      </c>
      <c r="P54">
        <v>0</v>
      </c>
      <c r="Q54">
        <v>1.8666666666666669</v>
      </c>
      <c r="R54">
        <v>0</v>
      </c>
      <c r="S54">
        <v>0.53333333333333333</v>
      </c>
      <c r="T54">
        <v>12.53333333333333</v>
      </c>
      <c r="U54">
        <v>0</v>
      </c>
      <c r="V54">
        <v>0</v>
      </c>
      <c r="W54">
        <v>1.0666666666666671</v>
      </c>
      <c r="X54">
        <v>0.26666666666666672</v>
      </c>
      <c r="Y54">
        <v>66.666666666666671</v>
      </c>
      <c r="Z54">
        <v>4</v>
      </c>
    </row>
    <row r="55" spans="1:26" x14ac:dyDescent="0.25">
      <c r="A55" t="s">
        <v>40</v>
      </c>
      <c r="B55" t="s">
        <v>32</v>
      </c>
      <c r="C55">
        <v>0</v>
      </c>
      <c r="D55">
        <v>0</v>
      </c>
      <c r="E55">
        <v>0</v>
      </c>
      <c r="F55">
        <v>0.26666666666666672</v>
      </c>
      <c r="G55">
        <v>1.333333333333333</v>
      </c>
      <c r="H55">
        <v>0</v>
      </c>
      <c r="I55">
        <v>0</v>
      </c>
      <c r="J55">
        <v>0.26666666666666672</v>
      </c>
      <c r="K55">
        <v>0</v>
      </c>
      <c r="L55">
        <v>0</v>
      </c>
      <c r="M55">
        <v>0</v>
      </c>
      <c r="N55">
        <v>0</v>
      </c>
      <c r="O55">
        <v>0</v>
      </c>
      <c r="P55">
        <v>0.26666666666666672</v>
      </c>
      <c r="Q55">
        <v>0.53333333333333333</v>
      </c>
      <c r="R55">
        <v>0</v>
      </c>
      <c r="S55">
        <v>2.666666666666667</v>
      </c>
      <c r="T55">
        <v>19.733333333333331</v>
      </c>
      <c r="U55">
        <v>0</v>
      </c>
      <c r="V55">
        <v>0</v>
      </c>
      <c r="W55">
        <v>1.6</v>
      </c>
      <c r="X55">
        <v>0.8</v>
      </c>
      <c r="Y55">
        <v>68.266666666666666</v>
      </c>
      <c r="Z55">
        <v>4.2666666666666666</v>
      </c>
    </row>
    <row r="56" spans="1:26" x14ac:dyDescent="0.25">
      <c r="A56" t="s">
        <v>41</v>
      </c>
      <c r="B56" t="s">
        <v>27</v>
      </c>
      <c r="C56">
        <v>0</v>
      </c>
      <c r="D56">
        <v>0</v>
      </c>
      <c r="E56">
        <v>0</v>
      </c>
      <c r="F56">
        <v>2.1333333333333329</v>
      </c>
      <c r="G56">
        <v>0</v>
      </c>
      <c r="H56">
        <v>0</v>
      </c>
      <c r="I56">
        <v>0.26666666666666672</v>
      </c>
      <c r="J56">
        <v>0</v>
      </c>
      <c r="K56">
        <v>0.26666666666666672</v>
      </c>
      <c r="L56">
        <v>0.53333333333333333</v>
      </c>
      <c r="M56">
        <v>0.53333333333333333</v>
      </c>
      <c r="N56">
        <v>2.1333333333333329</v>
      </c>
      <c r="O56">
        <v>0</v>
      </c>
      <c r="P56">
        <v>0.26666666666666672</v>
      </c>
      <c r="Q56">
        <v>2.9333333333333331</v>
      </c>
      <c r="R56">
        <v>0</v>
      </c>
      <c r="S56">
        <v>0</v>
      </c>
      <c r="T56">
        <v>0.26666666666666672</v>
      </c>
      <c r="U56">
        <v>0</v>
      </c>
      <c r="V56">
        <v>0</v>
      </c>
      <c r="W56">
        <v>9.8666666666666671</v>
      </c>
      <c r="X56">
        <v>4.8</v>
      </c>
      <c r="Y56">
        <v>74.13333333333334</v>
      </c>
      <c r="Z56">
        <v>1.8666666666666669</v>
      </c>
    </row>
    <row r="57" spans="1:26" x14ac:dyDescent="0.25">
      <c r="A57" t="s">
        <v>41</v>
      </c>
      <c r="B57" t="s">
        <v>28</v>
      </c>
      <c r="C57">
        <v>0</v>
      </c>
      <c r="D57">
        <v>0</v>
      </c>
      <c r="E57">
        <v>0</v>
      </c>
      <c r="F57">
        <v>1</v>
      </c>
      <c r="G57">
        <v>0</v>
      </c>
      <c r="H57">
        <v>0.5</v>
      </c>
      <c r="I57">
        <v>0.25</v>
      </c>
      <c r="J57">
        <v>0</v>
      </c>
      <c r="K57">
        <v>10.5</v>
      </c>
      <c r="L57">
        <v>0</v>
      </c>
      <c r="M57">
        <v>0</v>
      </c>
      <c r="N57">
        <v>1.5</v>
      </c>
      <c r="O57">
        <v>0</v>
      </c>
      <c r="P57">
        <v>0</v>
      </c>
      <c r="Q57">
        <v>2</v>
      </c>
      <c r="R57">
        <v>0</v>
      </c>
      <c r="S57">
        <v>0</v>
      </c>
      <c r="T57">
        <v>2</v>
      </c>
      <c r="U57">
        <v>0</v>
      </c>
      <c r="V57">
        <v>0</v>
      </c>
      <c r="W57">
        <v>5</v>
      </c>
      <c r="X57">
        <v>3</v>
      </c>
      <c r="Y57">
        <v>71</v>
      </c>
      <c r="Z57">
        <v>3.25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DBDB-16AA-471E-81E8-E1AC826A8733}">
  <dimension ref="A1:M57"/>
  <sheetViews>
    <sheetView workbookViewId="0">
      <selection activeCell="N18" sqref="N18"/>
    </sheetView>
  </sheetViews>
  <sheetFormatPr defaultColWidth="11.09765625" defaultRowHeight="13.8" x14ac:dyDescent="0.25"/>
  <cols>
    <col min="1" max="1" width="10" customWidth="1"/>
    <col min="3" max="3" width="13.3984375" bestFit="1" customWidth="1"/>
    <col min="4" max="4" width="16.69921875" bestFit="1" customWidth="1"/>
    <col min="5" max="5" width="17.69921875" bestFit="1" customWidth="1"/>
    <col min="6" max="6" width="19.3984375" bestFit="1" customWidth="1"/>
    <col min="7" max="7" width="17.09765625" bestFit="1" customWidth="1"/>
    <col min="11" max="11" width="13" bestFit="1" customWidth="1"/>
  </cols>
  <sheetData>
    <row r="1" spans="1:13" ht="15.6" x14ac:dyDescent="0.3">
      <c r="A1" s="1" t="s">
        <v>0</v>
      </c>
      <c r="B1" s="1" t="s">
        <v>1</v>
      </c>
      <c r="C1" s="1" t="s">
        <v>79</v>
      </c>
      <c r="D1" s="1" t="s">
        <v>4</v>
      </c>
      <c r="E1" s="1" t="s">
        <v>5</v>
      </c>
      <c r="F1" s="1" t="s">
        <v>6</v>
      </c>
      <c r="G1" s="7" t="s">
        <v>88</v>
      </c>
      <c r="H1" s="1" t="s">
        <v>9</v>
      </c>
      <c r="I1" s="1" t="s">
        <v>10</v>
      </c>
      <c r="J1" s="3" t="s">
        <v>86</v>
      </c>
      <c r="K1" s="5" t="s">
        <v>87</v>
      </c>
      <c r="L1" s="1" t="s">
        <v>76</v>
      </c>
      <c r="M1" s="1" t="s">
        <v>24</v>
      </c>
    </row>
    <row r="2" spans="1:13" x14ac:dyDescent="0.25">
      <c r="A2" t="s">
        <v>26</v>
      </c>
      <c r="B2" t="s">
        <v>27</v>
      </c>
      <c r="C2">
        <f>SUM(Photos_Averages!C2:D2)</f>
        <v>0</v>
      </c>
      <c r="D2">
        <v>13.06666666666667</v>
      </c>
      <c r="E2">
        <v>0</v>
      </c>
      <c r="F2">
        <v>0</v>
      </c>
      <c r="G2">
        <f>SUM(Photos_Averages!H2,Photos_Averages!I2,Photos_Averages!L2,Photos_Averages!R2)</f>
        <v>2.1333333333333329</v>
      </c>
      <c r="H2">
        <v>1.0666666666666671</v>
      </c>
      <c r="I2">
        <v>0</v>
      </c>
      <c r="J2">
        <f>SUM(Photos_Averages!M2,Photos_Averages!N2,Photos_Averages!O2,Photos_Averages!P2)</f>
        <v>3.1999999999999993</v>
      </c>
      <c r="K2">
        <v>0</v>
      </c>
      <c r="L2">
        <f>SUM(Photos_Averages!W2,Photos_Averages!X2,Photos_Averages!Z2)</f>
        <v>30.133333333333333</v>
      </c>
      <c r="M2">
        <f>SUM(Photos_Averages!V2,Photos_Averages!U2,Photos_Averages!T2,Photos_Averages!Q2,Photos_Averages!Y2)</f>
        <v>50.400000000000006</v>
      </c>
    </row>
    <row r="3" spans="1:13" x14ac:dyDescent="0.25">
      <c r="A3" t="s">
        <v>26</v>
      </c>
      <c r="B3" t="s">
        <v>28</v>
      </c>
      <c r="C3">
        <f>SUM(Photos_Averages!C3:D3)</f>
        <v>0</v>
      </c>
      <c r="D3">
        <v>14.133333333333329</v>
      </c>
      <c r="E3">
        <v>0.53333333333333333</v>
      </c>
      <c r="F3">
        <v>0</v>
      </c>
      <c r="G3">
        <f>SUM(Photos_Averages!H3,Photos_Averages!I3,Photos_Averages!L3,Photos_Averages!R3)</f>
        <v>1.3333333333333339</v>
      </c>
      <c r="H3">
        <v>1.6</v>
      </c>
      <c r="I3">
        <v>0</v>
      </c>
      <c r="J3">
        <f>SUM(Photos_Averages!M3,Photos_Averages!N3,Photos_Averages!O3,Photos_Averages!P3)</f>
        <v>1.8666666666666671</v>
      </c>
      <c r="K3">
        <v>0</v>
      </c>
      <c r="L3">
        <f>SUM(Photos_Averages!W3,Photos_Averages!X3,Photos_Averages!Z3)</f>
        <v>40.533333333333324</v>
      </c>
      <c r="M3">
        <f>SUM(Photos_Averages!V3,Photos_Averages!U3,Photos_Averages!T3,Photos_Averages!Q3,Photos_Averages!Y3)</f>
        <v>40</v>
      </c>
    </row>
    <row r="4" spans="1:13" x14ac:dyDescent="0.25">
      <c r="A4" t="s">
        <v>26</v>
      </c>
      <c r="B4" t="s">
        <v>29</v>
      </c>
      <c r="C4">
        <f>SUM(Photos_Averages!C4:D4)</f>
        <v>0</v>
      </c>
      <c r="D4">
        <v>16</v>
      </c>
      <c r="E4">
        <v>0</v>
      </c>
      <c r="F4">
        <v>0</v>
      </c>
      <c r="G4">
        <f>SUM(Photos_Averages!H4,Photos_Averages!I4,Photos_Averages!L4,Photos_Averages!R4)</f>
        <v>0.53333333333333344</v>
      </c>
      <c r="H4">
        <v>0.8</v>
      </c>
      <c r="I4">
        <v>0</v>
      </c>
      <c r="J4">
        <f>SUM(Photos_Averages!M4,Photos_Averages!N4,Photos_Averages!O4,Photos_Averages!P4)</f>
        <v>1.0666666666666669</v>
      </c>
      <c r="K4">
        <v>0</v>
      </c>
      <c r="L4">
        <f>SUM(Photos_Averages!W4,Photos_Averages!X4,Photos_Averages!Z4)</f>
        <v>36.79999999999999</v>
      </c>
      <c r="M4">
        <f>SUM(Photos_Averages!V4,Photos_Averages!U4,Photos_Averages!T4,Photos_Averages!Q4,Photos_Averages!Y4)</f>
        <v>44.8</v>
      </c>
    </row>
    <row r="5" spans="1:13" x14ac:dyDescent="0.25">
      <c r="A5" t="s">
        <v>26</v>
      </c>
      <c r="B5" t="s">
        <v>30</v>
      </c>
      <c r="C5">
        <f>SUM(Photos_Averages!C5:D5)</f>
        <v>0</v>
      </c>
      <c r="D5">
        <v>12.8</v>
      </c>
      <c r="E5">
        <v>0</v>
      </c>
      <c r="F5">
        <v>0</v>
      </c>
      <c r="G5">
        <f>SUM(Photos_Averages!H5,Photos_Averages!I5,Photos_Averages!L5,Photos_Averages!R5)</f>
        <v>0.8</v>
      </c>
      <c r="H5">
        <v>1.6</v>
      </c>
      <c r="I5">
        <v>1.0666666666666671</v>
      </c>
      <c r="J5">
        <f>SUM(Photos_Averages!M5,Photos_Averages!N5,Photos_Averages!O5,Photos_Averages!P5)</f>
        <v>0.53333333333333344</v>
      </c>
      <c r="K5">
        <v>0</v>
      </c>
      <c r="L5">
        <f>SUM(Photos_Averages!W5,Photos_Averages!X5,Photos_Averages!Z5)</f>
        <v>44.533333333333331</v>
      </c>
      <c r="M5">
        <f>SUM(Photos_Averages!V5,Photos_Averages!U5,Photos_Averages!T5,Photos_Averages!Q5,Photos_Averages!Y5)</f>
        <v>38.666666666666679</v>
      </c>
    </row>
    <row r="6" spans="1:13" x14ac:dyDescent="0.25">
      <c r="A6" t="s">
        <v>26</v>
      </c>
      <c r="B6" t="s">
        <v>31</v>
      </c>
      <c r="C6">
        <f>SUM(Photos_Averages!C6:D6)</f>
        <v>0</v>
      </c>
      <c r="D6">
        <v>4.8</v>
      </c>
      <c r="E6">
        <v>0.26666666666666672</v>
      </c>
      <c r="F6">
        <v>0</v>
      </c>
      <c r="G6">
        <f>SUM(Photos_Averages!H6,Photos_Averages!I6,Photos_Averages!L6,Photos_Averages!R6)</f>
        <v>0</v>
      </c>
      <c r="H6">
        <v>4.8</v>
      </c>
      <c r="I6">
        <v>0</v>
      </c>
      <c r="J6">
        <f>SUM(Photos_Averages!M6,Photos_Averages!N6,Photos_Averages!O6,Photos_Averages!P6)</f>
        <v>0</v>
      </c>
      <c r="K6">
        <v>0</v>
      </c>
      <c r="L6">
        <f>SUM(Photos_Averages!W6,Photos_Averages!X6,Photos_Averages!Z6)</f>
        <v>69.066666666666663</v>
      </c>
      <c r="M6">
        <f>SUM(Photos_Averages!V6,Photos_Averages!U6,Photos_Averages!T6,Photos_Averages!Q6,Photos_Averages!Y6)</f>
        <v>21.06666666666667</v>
      </c>
    </row>
    <row r="7" spans="1:13" x14ac:dyDescent="0.25">
      <c r="A7" t="s">
        <v>26</v>
      </c>
      <c r="B7" t="s">
        <v>32</v>
      </c>
      <c r="C7">
        <f>SUM(Photos_Averages!C7:D7)</f>
        <v>0</v>
      </c>
      <c r="D7">
        <v>3.7333333333333329</v>
      </c>
      <c r="E7">
        <v>0</v>
      </c>
      <c r="F7">
        <v>0</v>
      </c>
      <c r="G7">
        <f>SUM(Photos_Averages!H7,Photos_Averages!I7,Photos_Averages!L7,Photos_Averages!R7)</f>
        <v>0</v>
      </c>
      <c r="H7">
        <v>6.1333333333333337</v>
      </c>
      <c r="I7">
        <v>0.26666666666666672</v>
      </c>
      <c r="J7">
        <f>SUM(Photos_Averages!M7,Photos_Averages!N7,Photos_Averages!O7,Photos_Averages!P7)</f>
        <v>0</v>
      </c>
      <c r="K7">
        <v>0</v>
      </c>
      <c r="L7">
        <f>SUM(Photos_Averages!W7,Photos_Averages!X7,Photos_Averages!Z7)</f>
        <v>57.6</v>
      </c>
      <c r="M7">
        <f>SUM(Photos_Averages!V7,Photos_Averages!U7,Photos_Averages!T7,Photos_Averages!Q7,Photos_Averages!Y7)</f>
        <v>32.266666666666666</v>
      </c>
    </row>
    <row r="8" spans="1:13" x14ac:dyDescent="0.25">
      <c r="A8" t="s">
        <v>33</v>
      </c>
      <c r="B8" t="s">
        <v>27</v>
      </c>
      <c r="C8">
        <f>SUM(Photos_Averages!C8:D8)</f>
        <v>2.4</v>
      </c>
      <c r="D8">
        <v>4.8</v>
      </c>
      <c r="E8">
        <v>1.6</v>
      </c>
      <c r="F8">
        <v>0.26666666666666672</v>
      </c>
      <c r="G8">
        <f>SUM(Photos_Averages!H8,Photos_Averages!I8,Photos_Averages!L8,Photos_Averages!R8)</f>
        <v>0.53333333333333333</v>
      </c>
      <c r="H8">
        <v>1.8666666666666669</v>
      </c>
      <c r="I8">
        <v>0</v>
      </c>
      <c r="J8">
        <f>SUM(Photos_Averages!M8,Photos_Averages!N8,Photos_Averages!O8,Photos_Averages!P8)</f>
        <v>3.2</v>
      </c>
      <c r="K8">
        <v>0</v>
      </c>
      <c r="L8">
        <f>SUM(Photos_Averages!W8,Photos_Averages!X8,Photos_Averages!Z8)</f>
        <v>30.666666666666664</v>
      </c>
      <c r="M8">
        <f>SUM(Photos_Averages!V8,Photos_Averages!U8,Photos_Averages!T8,Photos_Averages!Q8,Photos_Averages!Y8)</f>
        <v>54.666666666666664</v>
      </c>
    </row>
    <row r="9" spans="1:13" x14ac:dyDescent="0.25">
      <c r="A9" t="s">
        <v>33</v>
      </c>
      <c r="B9" t="s">
        <v>28</v>
      </c>
      <c r="C9">
        <f>SUM(Photos_Averages!C9:D9)</f>
        <v>2.666666666666667</v>
      </c>
      <c r="D9">
        <v>7.2</v>
      </c>
      <c r="E9">
        <v>0</v>
      </c>
      <c r="F9">
        <v>0</v>
      </c>
      <c r="G9">
        <f>SUM(Photos_Averages!H9,Photos_Averages!I9,Photos_Averages!L9,Photos_Averages!R9)</f>
        <v>0</v>
      </c>
      <c r="H9">
        <v>1.0666666666666671</v>
      </c>
      <c r="I9">
        <v>0</v>
      </c>
      <c r="J9">
        <f>SUM(Photos_Averages!M9,Photos_Averages!N9,Photos_Averages!O9,Photos_Averages!P9)</f>
        <v>7.7333333333333334</v>
      </c>
      <c r="K9">
        <v>0</v>
      </c>
      <c r="L9">
        <f>SUM(Photos_Averages!W9,Photos_Averages!X9,Photos_Averages!Z9)</f>
        <v>13.6</v>
      </c>
      <c r="M9">
        <f>SUM(Photos_Averages!V9,Photos_Averages!U9,Photos_Averages!T9,Photos_Averages!Q9,Photos_Averages!Y9)</f>
        <v>67.73333333333332</v>
      </c>
    </row>
    <row r="10" spans="1:13" x14ac:dyDescent="0.25">
      <c r="A10" t="s">
        <v>33</v>
      </c>
      <c r="B10" t="s">
        <v>29</v>
      </c>
      <c r="C10">
        <f>SUM(Photos_Averages!C10:D10)</f>
        <v>4</v>
      </c>
      <c r="D10">
        <v>4</v>
      </c>
      <c r="E10">
        <v>0.26666666666666672</v>
      </c>
      <c r="F10">
        <v>0.53333333333333333</v>
      </c>
      <c r="G10">
        <f>SUM(Photos_Averages!H10,Photos_Averages!I10,Photos_Averages!L10,Photos_Averages!R10)</f>
        <v>0</v>
      </c>
      <c r="H10">
        <v>0.8</v>
      </c>
      <c r="I10">
        <v>0</v>
      </c>
      <c r="J10">
        <f>SUM(Photos_Averages!M10,Photos_Averages!N10,Photos_Averages!O10,Photos_Averages!P10)</f>
        <v>6.1333333333333337</v>
      </c>
      <c r="K10">
        <v>0.53333333333333333</v>
      </c>
      <c r="L10">
        <f>SUM(Photos_Averages!W10,Photos_Averages!X10,Photos_Averages!Z10)</f>
        <v>23.466666666666669</v>
      </c>
      <c r="M10">
        <f>SUM(Photos_Averages!V10,Photos_Averages!U10,Photos_Averages!T10,Photos_Averages!Q10,Photos_Averages!Y10)</f>
        <v>60.266666666666659</v>
      </c>
    </row>
    <row r="11" spans="1:13" x14ac:dyDescent="0.25">
      <c r="A11" t="s">
        <v>33</v>
      </c>
      <c r="B11" t="s">
        <v>30</v>
      </c>
      <c r="C11">
        <f>SUM(Photos_Averages!C11:D11)</f>
        <v>6.666666666666667</v>
      </c>
      <c r="D11">
        <v>2.666666666666667</v>
      </c>
      <c r="E11">
        <v>8.8000000000000007</v>
      </c>
      <c r="F11">
        <v>1.6</v>
      </c>
      <c r="G11">
        <f>SUM(Photos_Averages!H11,Photos_Averages!I11,Photos_Averages!L11,Photos_Averages!R11)</f>
        <v>0.26666666666666672</v>
      </c>
      <c r="H11">
        <v>2.4</v>
      </c>
      <c r="I11">
        <v>0</v>
      </c>
      <c r="J11">
        <f>SUM(Photos_Averages!M11,Photos_Averages!N11,Photos_Averages!O11,Photos_Averages!P11)</f>
        <v>0.8</v>
      </c>
      <c r="K11">
        <v>0</v>
      </c>
      <c r="L11">
        <f>SUM(Photos_Averages!W11,Photos_Averages!X11,Photos_Averages!Z11)</f>
        <v>32.266666666666666</v>
      </c>
      <c r="M11">
        <f>SUM(Photos_Averages!V11,Photos_Averages!U11,Photos_Averages!T11,Photos_Averages!Q11,Photos_Averages!Y11)</f>
        <v>44.533333333333331</v>
      </c>
    </row>
    <row r="12" spans="1:13" x14ac:dyDescent="0.25">
      <c r="A12" t="s">
        <v>33</v>
      </c>
      <c r="B12" t="s">
        <v>31</v>
      </c>
      <c r="C12">
        <f>SUM(Photos_Averages!C12:D12)</f>
        <v>14.666666666666666</v>
      </c>
      <c r="D12">
        <v>8.2666666666666675</v>
      </c>
      <c r="E12">
        <v>4.8</v>
      </c>
      <c r="F12">
        <v>0</v>
      </c>
      <c r="G12">
        <f>SUM(Photos_Averages!H12,Photos_Averages!I12,Photos_Averages!L12,Photos_Averages!R12)</f>
        <v>0</v>
      </c>
      <c r="H12">
        <v>2.4</v>
      </c>
      <c r="I12">
        <v>0.26666666666666672</v>
      </c>
      <c r="J12">
        <f>SUM(Photos_Averages!M12,Photos_Averages!N12,Photos_Averages!O12,Photos_Averages!P12)</f>
        <v>0.26666666666666672</v>
      </c>
      <c r="K12">
        <v>0</v>
      </c>
      <c r="L12">
        <f>SUM(Photos_Averages!W12,Photos_Averages!X12,Photos_Averages!Z12)</f>
        <v>21.866666666666671</v>
      </c>
      <c r="M12">
        <f>SUM(Photos_Averages!V12,Photos_Averages!U12,Photos_Averages!T12,Photos_Averages!Q12,Photos_Averages!Y12)</f>
        <v>47.466666666666669</v>
      </c>
    </row>
    <row r="13" spans="1:13" x14ac:dyDescent="0.25">
      <c r="A13" t="s">
        <v>33</v>
      </c>
      <c r="B13" t="s">
        <v>32</v>
      </c>
      <c r="C13">
        <f>SUM(Photos_Averages!C13:D13)</f>
        <v>10.4</v>
      </c>
      <c r="D13">
        <v>2.9333333333333331</v>
      </c>
      <c r="E13">
        <v>0</v>
      </c>
      <c r="F13">
        <v>0</v>
      </c>
      <c r="G13">
        <f>SUM(Photos_Averages!H13,Photos_Averages!I13,Photos_Averages!L13,Photos_Averages!R13)</f>
        <v>0</v>
      </c>
      <c r="H13">
        <v>0.53333333333333333</v>
      </c>
      <c r="I13">
        <v>0</v>
      </c>
      <c r="J13">
        <f>SUM(Photos_Averages!M13,Photos_Averages!N13,Photos_Averages!O13,Photos_Averages!P13)</f>
        <v>14.133333333333333</v>
      </c>
      <c r="K13">
        <v>0</v>
      </c>
      <c r="L13">
        <f>SUM(Photos_Averages!W13,Photos_Averages!X13,Photos_Averages!Z13)</f>
        <v>13.333333333333334</v>
      </c>
      <c r="M13">
        <f>SUM(Photos_Averages!V13,Photos_Averages!U13,Photos_Averages!T13,Photos_Averages!Q13,Photos_Averages!Y13)</f>
        <v>58.666666666666671</v>
      </c>
    </row>
    <row r="14" spans="1:13" x14ac:dyDescent="0.25">
      <c r="A14" t="s">
        <v>34</v>
      </c>
      <c r="B14" t="s">
        <v>27</v>
      </c>
      <c r="C14">
        <f>SUM(Photos_Averages!C14:D14)</f>
        <v>0.26666666666666672</v>
      </c>
      <c r="D14">
        <v>19.466666666666669</v>
      </c>
      <c r="E14">
        <v>0</v>
      </c>
      <c r="F14">
        <v>0</v>
      </c>
      <c r="G14">
        <f>SUM(Photos_Averages!H14,Photos_Averages!I14,Photos_Averages!L14,Photos_Averages!R14)</f>
        <v>0</v>
      </c>
      <c r="H14">
        <v>3.7333333333333329</v>
      </c>
      <c r="I14">
        <v>0</v>
      </c>
      <c r="J14">
        <f>SUM(Photos_Averages!M14,Photos_Averages!N14,Photos_Averages!O14,Photos_Averages!P14)</f>
        <v>0.8</v>
      </c>
      <c r="K14">
        <v>0.26666666666666672</v>
      </c>
      <c r="L14">
        <f>SUM(Photos_Averages!W14,Photos_Averages!X14,Photos_Averages!Z14)</f>
        <v>20.800000000000004</v>
      </c>
      <c r="M14">
        <f>SUM(Photos_Averages!V14,Photos_Averages!U14,Photos_Averages!T14,Photos_Averages!Q14,Photos_Averages!Y14)</f>
        <v>54.666666666666664</v>
      </c>
    </row>
    <row r="15" spans="1:13" x14ac:dyDescent="0.25">
      <c r="A15" t="s">
        <v>34</v>
      </c>
      <c r="B15" t="s">
        <v>28</v>
      </c>
      <c r="C15">
        <f>SUM(Photos_Averages!C15:D15)</f>
        <v>6.1333333333333337</v>
      </c>
      <c r="D15">
        <v>8.8000000000000007</v>
      </c>
      <c r="E15">
        <v>0.53333333333333333</v>
      </c>
      <c r="F15">
        <v>0.53333333333333333</v>
      </c>
      <c r="G15">
        <f>SUM(Photos_Averages!H15,Photos_Averages!I15,Photos_Averages!L15,Photos_Averages!R15)</f>
        <v>0</v>
      </c>
      <c r="H15">
        <v>2.666666666666667</v>
      </c>
      <c r="I15">
        <v>0</v>
      </c>
      <c r="J15">
        <f>SUM(Photos_Averages!M15,Photos_Averages!N15,Photos_Averages!O15,Photos_Averages!P15)</f>
        <v>3.2000000000000006</v>
      </c>
      <c r="K15">
        <v>0</v>
      </c>
      <c r="L15">
        <f>SUM(Photos_Averages!W15,Photos_Averages!X15,Photos_Averages!Z15)</f>
        <v>28.266666666666669</v>
      </c>
      <c r="M15">
        <f>SUM(Photos_Averages!V15,Photos_Averages!U15,Photos_Averages!T15,Photos_Averages!Q15,Photos_Averages!Y15)</f>
        <v>49.866666666666667</v>
      </c>
    </row>
    <row r="16" spans="1:13" x14ac:dyDescent="0.25">
      <c r="A16" t="s">
        <v>34</v>
      </c>
      <c r="B16" t="s">
        <v>29</v>
      </c>
      <c r="C16">
        <f>SUM(Photos_Averages!C16:D16)</f>
        <v>4.8</v>
      </c>
      <c r="D16">
        <v>9.0666666666666664</v>
      </c>
      <c r="E16">
        <v>4.2666666666666666</v>
      </c>
      <c r="F16">
        <v>0</v>
      </c>
      <c r="G16">
        <f>SUM(Photos_Averages!H16,Photos_Averages!I16,Photos_Averages!L16,Photos_Averages!R16)</f>
        <v>0</v>
      </c>
      <c r="H16">
        <v>3.7333333333333329</v>
      </c>
      <c r="I16">
        <v>0</v>
      </c>
      <c r="J16">
        <f>SUM(Photos_Averages!M16,Photos_Averages!N16,Photos_Averages!O16,Photos_Averages!P16)</f>
        <v>1.0666666666666667</v>
      </c>
      <c r="K16">
        <v>1.333333333333333</v>
      </c>
      <c r="L16">
        <f>SUM(Photos_Averages!W16,Photos_Averages!X16,Photos_Averages!Z16)</f>
        <v>28.8</v>
      </c>
      <c r="M16">
        <f>SUM(Photos_Averages!V16,Photos_Averages!U16,Photos_Averages!T16,Photos_Averages!Q16,Photos_Averages!Y16)</f>
        <v>46.933333333333337</v>
      </c>
    </row>
    <row r="17" spans="1:13" x14ac:dyDescent="0.25">
      <c r="A17" t="s">
        <v>34</v>
      </c>
      <c r="B17" t="s">
        <v>30</v>
      </c>
      <c r="C17">
        <f>SUM(Photos_Averages!C17:D17)</f>
        <v>0</v>
      </c>
      <c r="D17">
        <v>13.33333333333333</v>
      </c>
      <c r="E17">
        <v>0</v>
      </c>
      <c r="F17">
        <v>0</v>
      </c>
      <c r="G17">
        <f>SUM(Photos_Averages!H17,Photos_Averages!I17,Photos_Averages!L17,Photos_Averages!R17)</f>
        <v>0.26666666666666672</v>
      </c>
      <c r="H17">
        <v>7.4666666666666668</v>
      </c>
      <c r="I17">
        <v>0</v>
      </c>
      <c r="J17">
        <f>SUM(Photos_Averages!M17,Photos_Averages!N17,Photos_Averages!O17,Photos_Averages!P17)</f>
        <v>1.0666666666666671</v>
      </c>
      <c r="K17">
        <v>4.2666666666666666</v>
      </c>
      <c r="L17">
        <f>SUM(Photos_Averages!W17,Photos_Averages!X17,Photos_Averages!Z17)</f>
        <v>32.533333333333331</v>
      </c>
      <c r="M17">
        <f>SUM(Photos_Averages!V17,Photos_Averages!U17,Photos_Averages!T17,Photos_Averages!Q17,Photos_Averages!Y17)</f>
        <v>41.066666666666663</v>
      </c>
    </row>
    <row r="18" spans="1:13" x14ac:dyDescent="0.25">
      <c r="A18" t="s">
        <v>34</v>
      </c>
      <c r="B18" t="s">
        <v>31</v>
      </c>
      <c r="C18">
        <f>SUM(Photos_Averages!C18:D18)</f>
        <v>0</v>
      </c>
      <c r="D18">
        <v>15.733333333333331</v>
      </c>
      <c r="E18">
        <v>2.4</v>
      </c>
      <c r="F18">
        <v>0.53333333333333333</v>
      </c>
      <c r="G18">
        <f>SUM(Photos_Averages!H18,Photos_Averages!I18,Photos_Averages!L18,Photos_Averages!R18)</f>
        <v>0.8</v>
      </c>
      <c r="H18">
        <v>2.4</v>
      </c>
      <c r="I18">
        <v>0</v>
      </c>
      <c r="J18">
        <f>SUM(Photos_Averages!M18,Photos_Averages!N18,Photos_Averages!O18,Photos_Averages!P18)</f>
        <v>1.8666666666666667</v>
      </c>
      <c r="K18">
        <v>7.7333333333333334</v>
      </c>
      <c r="L18">
        <f>SUM(Photos_Averages!W18,Photos_Averages!X18,Photos_Averages!Z18)</f>
        <v>26.933333333333337</v>
      </c>
      <c r="M18">
        <f>SUM(Photos_Averages!V18,Photos_Averages!U18,Photos_Averages!T18,Photos_Averages!Q18,Photos_Averages!Y18)</f>
        <v>41.599999999999994</v>
      </c>
    </row>
    <row r="19" spans="1:13" x14ac:dyDescent="0.25">
      <c r="A19" t="s">
        <v>34</v>
      </c>
      <c r="B19" t="s">
        <v>32</v>
      </c>
      <c r="C19">
        <f>SUM(Photos_Averages!C19:D19)</f>
        <v>0</v>
      </c>
      <c r="D19">
        <v>7.4666666666666668</v>
      </c>
      <c r="E19">
        <v>0.26666666666666672</v>
      </c>
      <c r="F19">
        <v>0</v>
      </c>
      <c r="G19">
        <f>SUM(Photos_Averages!H19,Photos_Averages!I19,Photos_Averages!L19,Photos_Averages!R19)</f>
        <v>0.26666666666666672</v>
      </c>
      <c r="H19">
        <v>2.666666666666667</v>
      </c>
      <c r="I19">
        <v>0</v>
      </c>
      <c r="J19">
        <f>SUM(Photos_Averages!M19,Photos_Averages!N19,Photos_Averages!O19,Photos_Averages!P19)</f>
        <v>4</v>
      </c>
      <c r="K19">
        <v>0.53333333333333333</v>
      </c>
      <c r="L19">
        <f>SUM(Photos_Averages!W19,Photos_Averages!X19,Photos_Averages!Z19)</f>
        <v>27.466666666666665</v>
      </c>
      <c r="M19">
        <f>SUM(Photos_Averages!V19,Photos_Averages!U19,Photos_Averages!T19,Photos_Averages!Q19,Photos_Averages!Y19)</f>
        <v>57.333333333333329</v>
      </c>
    </row>
    <row r="20" spans="1:13" x14ac:dyDescent="0.25">
      <c r="A20" t="s">
        <v>35</v>
      </c>
      <c r="B20" t="s">
        <v>27</v>
      </c>
      <c r="C20">
        <f>SUM(Photos_Averages!C20:D20)</f>
        <v>0</v>
      </c>
      <c r="D20">
        <v>13.6</v>
      </c>
      <c r="E20">
        <v>6.1333333333333337</v>
      </c>
      <c r="F20">
        <v>0.53333333333333333</v>
      </c>
      <c r="G20">
        <f>SUM(Photos_Averages!H20,Photos_Averages!I20,Photos_Averages!L20,Photos_Averages!R20)</f>
        <v>0.26666666666666672</v>
      </c>
      <c r="H20">
        <v>2.9333333333333331</v>
      </c>
      <c r="I20">
        <v>0</v>
      </c>
      <c r="J20">
        <f>SUM(Photos_Averages!M20,Photos_Averages!N20,Photos_Averages!O20,Photos_Averages!P20)</f>
        <v>0.8</v>
      </c>
      <c r="K20">
        <v>0.26666666666666672</v>
      </c>
      <c r="L20">
        <f>SUM(Photos_Averages!W20,Photos_Averages!X20,Photos_Averages!Z20)</f>
        <v>21.599999999999998</v>
      </c>
      <c r="M20">
        <f>SUM(Photos_Averages!V20,Photos_Averages!U20,Photos_Averages!T20,Photos_Averages!Q20,Photos_Averages!Y20)</f>
        <v>53.866666666666674</v>
      </c>
    </row>
    <row r="21" spans="1:13" x14ac:dyDescent="0.25">
      <c r="A21" t="s">
        <v>35</v>
      </c>
      <c r="B21" t="s">
        <v>28</v>
      </c>
      <c r="C21">
        <f>SUM(Photos_Averages!C21:D21)</f>
        <v>0</v>
      </c>
      <c r="D21">
        <v>14.133333333333329</v>
      </c>
      <c r="E21">
        <v>7.4666666666666668</v>
      </c>
      <c r="F21">
        <v>0.53333333333333333</v>
      </c>
      <c r="G21">
        <f>SUM(Photos_Averages!H21,Photos_Averages!I21,Photos_Averages!L21,Photos_Averages!R21)</f>
        <v>0</v>
      </c>
      <c r="H21">
        <v>5.333333333333333</v>
      </c>
      <c r="I21">
        <v>0</v>
      </c>
      <c r="J21">
        <f>SUM(Photos_Averages!M21,Photos_Averages!N21,Photos_Averages!O21,Photos_Averages!P21)</f>
        <v>1.0666666666666669</v>
      </c>
      <c r="K21">
        <v>0</v>
      </c>
      <c r="L21">
        <f>SUM(Photos_Averages!W21,Photos_Averages!X21,Photos_Averages!Z21)</f>
        <v>28.266666666666666</v>
      </c>
      <c r="M21">
        <f>SUM(Photos_Averages!V21,Photos_Averages!U21,Photos_Averages!T21,Photos_Averages!Q21,Photos_Averages!Y21)</f>
        <v>43.2</v>
      </c>
    </row>
    <row r="22" spans="1:13" x14ac:dyDescent="0.25">
      <c r="A22" t="s">
        <v>35</v>
      </c>
      <c r="B22" t="s">
        <v>29</v>
      </c>
      <c r="C22">
        <f>SUM(Photos_Averages!C22:D22)</f>
        <v>0.26666666666666672</v>
      </c>
      <c r="D22">
        <v>17.600000000000001</v>
      </c>
      <c r="E22">
        <v>0.8</v>
      </c>
      <c r="F22">
        <v>0</v>
      </c>
      <c r="G22">
        <f>SUM(Photos_Averages!H22,Photos_Averages!I22,Photos_Averages!L22,Photos_Averages!R22)</f>
        <v>0</v>
      </c>
      <c r="H22">
        <v>3.7333333333333329</v>
      </c>
      <c r="I22">
        <v>0</v>
      </c>
      <c r="J22">
        <f>SUM(Photos_Averages!M22,Photos_Averages!N22,Photos_Averages!O22,Photos_Averages!P22)</f>
        <v>0</v>
      </c>
      <c r="K22">
        <v>0</v>
      </c>
      <c r="L22">
        <f>SUM(Photos_Averages!W22,Photos_Averages!X22,Photos_Averages!Z22)</f>
        <v>15.466666666666665</v>
      </c>
      <c r="M22">
        <f>SUM(Photos_Averages!V22,Photos_Averages!U22,Photos_Averages!T22,Photos_Averages!Q22,Photos_Averages!Y22)</f>
        <v>62.133333333333333</v>
      </c>
    </row>
    <row r="23" spans="1:13" x14ac:dyDescent="0.25">
      <c r="A23" t="s">
        <v>35</v>
      </c>
      <c r="B23" t="s">
        <v>30</v>
      </c>
      <c r="C23">
        <f>SUM(Photos_Averages!C23:D23)</f>
        <v>1.0666666666666671</v>
      </c>
      <c r="D23">
        <v>18.133333333333329</v>
      </c>
      <c r="E23">
        <v>0.53333333333333333</v>
      </c>
      <c r="F23">
        <v>0</v>
      </c>
      <c r="G23">
        <f>SUM(Photos_Averages!H23,Photos_Averages!I23,Photos_Averages!L23,Photos_Averages!R23)</f>
        <v>0</v>
      </c>
      <c r="H23">
        <v>2.1333333333333329</v>
      </c>
      <c r="I23">
        <v>0</v>
      </c>
      <c r="J23">
        <f>SUM(Photos_Averages!M23,Photos_Averages!N23,Photos_Averages!O23,Photos_Averages!P23)</f>
        <v>0.8</v>
      </c>
      <c r="K23">
        <v>0</v>
      </c>
      <c r="L23">
        <f>SUM(Photos_Averages!W23,Photos_Averages!X23,Photos_Averages!Z23)</f>
        <v>9.0666666666666682</v>
      </c>
      <c r="M23">
        <f>SUM(Photos_Averages!V23,Photos_Averages!U23,Photos_Averages!T23,Photos_Averages!Q23,Photos_Averages!Y23)</f>
        <v>68.266666666666666</v>
      </c>
    </row>
    <row r="24" spans="1:13" x14ac:dyDescent="0.25">
      <c r="A24" t="s">
        <v>35</v>
      </c>
      <c r="B24" t="s">
        <v>31</v>
      </c>
      <c r="C24">
        <f>SUM(Photos_Averages!C24:D24)</f>
        <v>0.53333333333333333</v>
      </c>
      <c r="D24">
        <v>21.6</v>
      </c>
      <c r="E24">
        <v>0</v>
      </c>
      <c r="F24">
        <v>0</v>
      </c>
      <c r="G24">
        <f>SUM(Photos_Averages!H24,Photos_Averages!I24,Photos_Averages!L24,Photos_Averages!R24)</f>
        <v>0</v>
      </c>
      <c r="H24">
        <v>2.4</v>
      </c>
      <c r="I24">
        <v>0</v>
      </c>
      <c r="J24">
        <f>SUM(Photos_Averages!M24,Photos_Averages!N24,Photos_Averages!O24,Photos_Averages!P24)</f>
        <v>2.4000000000000004</v>
      </c>
      <c r="K24">
        <v>0</v>
      </c>
      <c r="L24">
        <f>SUM(Photos_Averages!W24,Photos_Averages!X24,Photos_Averages!Z24)</f>
        <v>10.133333333333335</v>
      </c>
      <c r="M24">
        <f>SUM(Photos_Averages!V24,Photos_Averages!U24,Photos_Averages!T24,Photos_Averages!Q24,Photos_Averages!Y24)</f>
        <v>62.933333333333337</v>
      </c>
    </row>
    <row r="25" spans="1:13" x14ac:dyDescent="0.25">
      <c r="A25" t="s">
        <v>35</v>
      </c>
      <c r="B25" t="s">
        <v>32</v>
      </c>
      <c r="C25">
        <f>SUM(Photos_Averages!C25:D25)</f>
        <v>0</v>
      </c>
      <c r="D25">
        <v>15.2</v>
      </c>
      <c r="E25">
        <v>0</v>
      </c>
      <c r="F25">
        <v>0</v>
      </c>
      <c r="G25">
        <f>SUM(Photos_Averages!H25,Photos_Averages!I25,Photos_Averages!L25,Photos_Averages!R25)</f>
        <v>0</v>
      </c>
      <c r="H25">
        <v>0.8</v>
      </c>
      <c r="I25">
        <v>0</v>
      </c>
      <c r="J25">
        <f>SUM(Photos_Averages!M25,Photos_Averages!N25,Photos_Averages!O25,Photos_Averages!P25)</f>
        <v>0</v>
      </c>
      <c r="K25">
        <v>0.53333333333333333</v>
      </c>
      <c r="L25">
        <f>SUM(Photos_Averages!W25,Photos_Averages!X25,Photos_Averages!Z25)</f>
        <v>10.4</v>
      </c>
      <c r="M25">
        <f>SUM(Photos_Averages!V25,Photos_Averages!U25,Photos_Averages!T25,Photos_Averages!Q25,Photos_Averages!Y25)</f>
        <v>73.066666666666663</v>
      </c>
    </row>
    <row r="26" spans="1:13" x14ac:dyDescent="0.25">
      <c r="A26" t="s">
        <v>36</v>
      </c>
      <c r="B26" t="s">
        <v>27</v>
      </c>
      <c r="C26">
        <f>SUM(Photos_Averages!C26:D26)</f>
        <v>1.333333333333333</v>
      </c>
      <c r="D26">
        <v>8.2666666666666675</v>
      </c>
      <c r="E26">
        <v>0.8</v>
      </c>
      <c r="F26">
        <v>0</v>
      </c>
      <c r="G26">
        <f>SUM(Photos_Averages!H26,Photos_Averages!I26,Photos_Averages!L26,Photos_Averages!R26)</f>
        <v>0.53333333333333333</v>
      </c>
      <c r="H26">
        <v>1.6</v>
      </c>
      <c r="I26">
        <v>0</v>
      </c>
      <c r="J26">
        <f>SUM(Photos_Averages!M26,Photos_Averages!N26,Photos_Averages!O26,Photos_Averages!P26)</f>
        <v>0</v>
      </c>
      <c r="K26">
        <v>0</v>
      </c>
      <c r="L26">
        <f>SUM(Photos_Averages!W26,Photos_Averages!X26,Photos_Averages!Z26)</f>
        <v>29.066666666666663</v>
      </c>
      <c r="M26">
        <f>SUM(Photos_Averages!V26,Photos_Averages!U26,Photos_Averages!T26,Photos_Averages!Q26,Photos_Averages!Y26)</f>
        <v>58.4</v>
      </c>
    </row>
    <row r="27" spans="1:13" x14ac:dyDescent="0.25">
      <c r="A27" t="s">
        <v>36</v>
      </c>
      <c r="B27" t="s">
        <v>28</v>
      </c>
      <c r="C27">
        <f>SUM(Photos_Averages!C27:D27)</f>
        <v>0</v>
      </c>
      <c r="D27">
        <v>9.6</v>
      </c>
      <c r="E27">
        <v>0</v>
      </c>
      <c r="F27">
        <v>0</v>
      </c>
      <c r="G27">
        <f>SUM(Photos_Averages!H27,Photos_Averages!I27,Photos_Averages!L27,Photos_Averages!R27)</f>
        <v>0</v>
      </c>
      <c r="H27">
        <v>0.53333333333333333</v>
      </c>
      <c r="I27">
        <v>0</v>
      </c>
      <c r="J27">
        <f>SUM(Photos_Averages!M27,Photos_Averages!N27,Photos_Averages!O27,Photos_Averages!P27)</f>
        <v>0.8</v>
      </c>
      <c r="K27">
        <v>0.26666666666666672</v>
      </c>
      <c r="L27">
        <f>SUM(Photos_Averages!W27,Photos_Averages!X27,Photos_Averages!Z27)</f>
        <v>25.866666666666671</v>
      </c>
      <c r="M27">
        <f>SUM(Photos_Averages!V27,Photos_Averages!U27,Photos_Averages!T27,Photos_Averages!Q27,Photos_Averages!Y27)</f>
        <v>62.93333333333333</v>
      </c>
    </row>
    <row r="28" spans="1:13" x14ac:dyDescent="0.25">
      <c r="A28" t="s">
        <v>36</v>
      </c>
      <c r="B28" t="s">
        <v>29</v>
      </c>
      <c r="C28">
        <f>SUM(Photos_Averages!C28:D28)</f>
        <v>4.8</v>
      </c>
      <c r="D28">
        <v>5.333333333333333</v>
      </c>
      <c r="E28">
        <v>1.0666666666666671</v>
      </c>
      <c r="F28">
        <v>0</v>
      </c>
      <c r="G28">
        <f>SUM(Photos_Averages!H28,Photos_Averages!I28,Photos_Averages!L28,Photos_Averages!R28)</f>
        <v>0</v>
      </c>
      <c r="H28">
        <v>1.6</v>
      </c>
      <c r="I28">
        <v>0.26666666666666672</v>
      </c>
      <c r="J28">
        <f>SUM(Photos_Averages!M28,Photos_Averages!N28,Photos_Averages!O28,Photos_Averages!P28)</f>
        <v>2.1333333333333333</v>
      </c>
      <c r="K28">
        <v>0</v>
      </c>
      <c r="L28">
        <f>SUM(Photos_Averages!W28,Photos_Averages!X28,Photos_Averages!Z28)</f>
        <v>13.866666666666669</v>
      </c>
      <c r="M28">
        <f>SUM(Photos_Averages!V28,Photos_Averages!U28,Photos_Averages!T28,Photos_Averages!Q28,Photos_Averages!Y28)</f>
        <v>70.933333333333337</v>
      </c>
    </row>
    <row r="29" spans="1:13" x14ac:dyDescent="0.25">
      <c r="A29" t="s">
        <v>36</v>
      </c>
      <c r="B29" t="s">
        <v>30</v>
      </c>
      <c r="C29">
        <f>SUM(Photos_Averages!C29:D29)</f>
        <v>0.8</v>
      </c>
      <c r="D29">
        <v>6.9333333333333336</v>
      </c>
      <c r="E29">
        <v>0</v>
      </c>
      <c r="F29">
        <v>0</v>
      </c>
      <c r="G29">
        <f>SUM(Photos_Averages!H29,Photos_Averages!I29,Photos_Averages!L29,Photos_Averages!R29)</f>
        <v>0.26666666666666672</v>
      </c>
      <c r="H29">
        <v>0.26666666666666672</v>
      </c>
      <c r="I29">
        <v>0.26666666666666672</v>
      </c>
      <c r="J29">
        <f>SUM(Photos_Averages!M29,Photos_Averages!N29,Photos_Averages!O29,Photos_Averages!P29)</f>
        <v>2.9333333333333327</v>
      </c>
      <c r="K29">
        <v>0</v>
      </c>
      <c r="L29">
        <f>SUM(Photos_Averages!W29,Photos_Averages!X29,Photos_Averages!Z29)</f>
        <v>21.600000000000005</v>
      </c>
      <c r="M29">
        <f>SUM(Photos_Averages!V29,Photos_Averages!U29,Photos_Averages!T29,Photos_Averages!Q29,Photos_Averages!Y29)</f>
        <v>66.933333333333323</v>
      </c>
    </row>
    <row r="30" spans="1:13" x14ac:dyDescent="0.25">
      <c r="A30" t="s">
        <v>36</v>
      </c>
      <c r="B30" t="s">
        <v>31</v>
      </c>
      <c r="C30">
        <f>SUM(Photos_Averages!C30:D30)</f>
        <v>2.666666666666667</v>
      </c>
      <c r="D30">
        <v>4.2666666666666666</v>
      </c>
      <c r="E30">
        <v>0.53333333333333333</v>
      </c>
      <c r="F30">
        <v>0</v>
      </c>
      <c r="G30">
        <f>SUM(Photos_Averages!H30,Photos_Averages!I30,Photos_Averages!L30,Photos_Averages!R30)</f>
        <v>0</v>
      </c>
      <c r="H30">
        <v>0.26666666666666672</v>
      </c>
      <c r="I30">
        <v>0</v>
      </c>
      <c r="J30">
        <f>SUM(Photos_Averages!M30,Photos_Averages!N30,Photos_Averages!O30,Photos_Averages!P30)</f>
        <v>0.26666666666666672</v>
      </c>
      <c r="K30">
        <v>0</v>
      </c>
      <c r="L30">
        <f>SUM(Photos_Averages!W30,Photos_Averages!X30,Photos_Averages!Z30)</f>
        <v>26.4</v>
      </c>
      <c r="M30">
        <f>SUM(Photos_Averages!V30,Photos_Averages!U30,Photos_Averages!T30,Photos_Averages!Q30,Photos_Averages!Y30)</f>
        <v>65.599999999999994</v>
      </c>
    </row>
    <row r="31" spans="1:13" x14ac:dyDescent="0.25">
      <c r="A31" t="s">
        <v>36</v>
      </c>
      <c r="B31" t="s">
        <v>32</v>
      </c>
      <c r="C31">
        <f>SUM(Photos_Averages!C31:D31)</f>
        <v>6.4</v>
      </c>
      <c r="D31">
        <v>0.53333333333333333</v>
      </c>
      <c r="E31">
        <v>0.26666666666666672</v>
      </c>
      <c r="F31">
        <v>0</v>
      </c>
      <c r="G31">
        <f>SUM(Photos_Averages!H31,Photos_Averages!I31,Photos_Averages!L31,Photos_Averages!R31)</f>
        <v>0</v>
      </c>
      <c r="H31">
        <v>0.26666666666666672</v>
      </c>
      <c r="I31">
        <v>0.26666666666666672</v>
      </c>
      <c r="J31">
        <f>SUM(Photos_Averages!M31,Photos_Averages!N31,Photos_Averages!O31,Photos_Averages!P31)</f>
        <v>0.8</v>
      </c>
      <c r="K31">
        <v>0</v>
      </c>
      <c r="L31">
        <f>SUM(Photos_Averages!W31,Photos_Averages!X31,Photos_Averages!Z31)</f>
        <v>31.2</v>
      </c>
      <c r="M31">
        <f>SUM(Photos_Averages!V31,Photos_Averages!U31,Photos_Averages!T31,Photos_Averages!Q31,Photos_Averages!Y31)</f>
        <v>60.266666666666666</v>
      </c>
    </row>
    <row r="32" spans="1:13" x14ac:dyDescent="0.25">
      <c r="A32" t="s">
        <v>37</v>
      </c>
      <c r="B32" t="s">
        <v>27</v>
      </c>
      <c r="C32">
        <f>SUM(Photos_Averages!C32:D32)</f>
        <v>0</v>
      </c>
      <c r="D32">
        <v>15.733333333333331</v>
      </c>
      <c r="E32">
        <v>0</v>
      </c>
      <c r="F32">
        <v>0</v>
      </c>
      <c r="G32">
        <f>SUM(Photos_Averages!H32,Photos_Averages!I32,Photos_Averages!L32,Photos_Averages!R32)</f>
        <v>0</v>
      </c>
      <c r="H32">
        <v>0.53333333333333333</v>
      </c>
      <c r="I32">
        <v>0.26666666666666672</v>
      </c>
      <c r="J32">
        <f>SUM(Photos_Averages!M32,Photos_Averages!N32,Photos_Averages!O32,Photos_Averages!P32)</f>
        <v>2.9333333333333331</v>
      </c>
      <c r="K32">
        <v>0.8</v>
      </c>
      <c r="L32">
        <f>SUM(Photos_Averages!W32,Photos_Averages!X32,Photos_Averages!Z32)</f>
        <v>12.266666666666666</v>
      </c>
      <c r="M32">
        <f>SUM(Photos_Averages!V32,Photos_Averages!U32,Photos_Averages!T32,Photos_Averages!Q32,Photos_Averages!Y32)</f>
        <v>67.466666666666669</v>
      </c>
    </row>
    <row r="33" spans="1:13" x14ac:dyDescent="0.25">
      <c r="A33" t="s">
        <v>37</v>
      </c>
      <c r="B33" t="s">
        <v>28</v>
      </c>
      <c r="C33">
        <f>SUM(Photos_Averages!C33:D33)</f>
        <v>0</v>
      </c>
      <c r="D33">
        <v>19.2</v>
      </c>
      <c r="E33">
        <v>0</v>
      </c>
      <c r="F33">
        <v>0</v>
      </c>
      <c r="G33">
        <f>SUM(Photos_Averages!H33,Photos_Averages!I33,Photos_Averages!L33,Photos_Averages!R33)</f>
        <v>0.8</v>
      </c>
      <c r="H33">
        <v>0.26666666666666672</v>
      </c>
      <c r="I33">
        <v>0</v>
      </c>
      <c r="J33">
        <f>SUM(Photos_Averages!M33,Photos_Averages!N33,Photos_Averages!O33,Photos_Averages!P33)</f>
        <v>0.26666666666666672</v>
      </c>
      <c r="K33">
        <v>0</v>
      </c>
      <c r="L33">
        <f>SUM(Photos_Averages!W33,Photos_Averages!X33,Photos_Averages!Z33)</f>
        <v>21.066666666666663</v>
      </c>
      <c r="M33">
        <f>SUM(Photos_Averages!V33,Photos_Averages!U33,Photos_Averages!T33,Photos_Averages!Q33,Photos_Averages!Y33)</f>
        <v>58.4</v>
      </c>
    </row>
    <row r="34" spans="1:13" x14ac:dyDescent="0.25">
      <c r="A34" t="s">
        <v>37</v>
      </c>
      <c r="B34" t="s">
        <v>29</v>
      </c>
      <c r="C34">
        <f>SUM(Photos_Averages!C34:D34)</f>
        <v>3.7333333333333329</v>
      </c>
      <c r="D34">
        <v>17.333333333333329</v>
      </c>
      <c r="E34">
        <v>0</v>
      </c>
      <c r="F34">
        <v>0</v>
      </c>
      <c r="G34">
        <f>SUM(Photos_Averages!H34,Photos_Averages!I34,Photos_Averages!L34,Photos_Averages!R34)</f>
        <v>0.26666666666666672</v>
      </c>
      <c r="H34">
        <v>0.53333333333333333</v>
      </c>
      <c r="I34">
        <v>0</v>
      </c>
      <c r="J34">
        <f>SUM(Photos_Averages!M34,Photos_Averages!N34,Photos_Averages!O34,Photos_Averages!P34)</f>
        <v>0</v>
      </c>
      <c r="K34">
        <v>1.8666666666666669</v>
      </c>
      <c r="L34">
        <f>SUM(Photos_Averages!W34,Photos_Averages!X34,Photos_Averages!Z34)</f>
        <v>14.933333333333334</v>
      </c>
      <c r="M34">
        <f>SUM(Photos_Averages!V34,Photos_Averages!U34,Photos_Averages!T34,Photos_Averages!Q34,Photos_Averages!Y34)</f>
        <v>61.333333333333329</v>
      </c>
    </row>
    <row r="35" spans="1:13" x14ac:dyDescent="0.25">
      <c r="A35" t="s">
        <v>37</v>
      </c>
      <c r="B35" t="s">
        <v>30</v>
      </c>
      <c r="C35">
        <f>SUM(Photos_Averages!C35:D35)</f>
        <v>0.53333333333333333</v>
      </c>
      <c r="D35">
        <v>4.8</v>
      </c>
      <c r="E35">
        <v>2.4</v>
      </c>
      <c r="F35">
        <v>0</v>
      </c>
      <c r="G35">
        <f>SUM(Photos_Averages!H35,Photos_Averages!I35,Photos_Averages!L35,Photos_Averages!R35)</f>
        <v>0</v>
      </c>
      <c r="H35">
        <v>0</v>
      </c>
      <c r="I35">
        <v>0</v>
      </c>
      <c r="J35">
        <f>SUM(Photos_Averages!M35,Photos_Averages!N35,Photos_Averages!O35,Photos_Averages!P35)</f>
        <v>4.5333333333333332</v>
      </c>
      <c r="K35">
        <v>8.2666666666666675</v>
      </c>
      <c r="L35">
        <f>SUM(Photos_Averages!W35,Photos_Averages!X35,Photos_Averages!Z35)</f>
        <v>13.066666666666666</v>
      </c>
      <c r="M35">
        <f>SUM(Photos_Averages!V35,Photos_Averages!U35,Photos_Averages!T35,Photos_Averages!Q35,Photos_Averages!Y35)</f>
        <v>66.399999999999991</v>
      </c>
    </row>
    <row r="36" spans="1:13" x14ac:dyDescent="0.25">
      <c r="A36" t="s">
        <v>37</v>
      </c>
      <c r="B36" t="s">
        <v>31</v>
      </c>
      <c r="C36">
        <f>SUM(Photos_Averages!C36:D36)</f>
        <v>0</v>
      </c>
      <c r="D36">
        <v>12.8</v>
      </c>
      <c r="E36">
        <v>0.53333333333333333</v>
      </c>
      <c r="F36">
        <v>0</v>
      </c>
      <c r="G36">
        <f>SUM(Photos_Averages!H36,Photos_Averages!I36,Photos_Averages!L36,Photos_Averages!R36)</f>
        <v>0.26666666666666672</v>
      </c>
      <c r="H36">
        <v>1.0666666666666671</v>
      </c>
      <c r="I36">
        <v>0.26666666666666672</v>
      </c>
      <c r="J36">
        <f>SUM(Photos_Averages!M36,Photos_Averages!N36,Photos_Averages!O36,Photos_Averages!P36)</f>
        <v>4.5333333333333332</v>
      </c>
      <c r="K36">
        <v>2.9333333333333331</v>
      </c>
      <c r="L36">
        <f>SUM(Photos_Averages!W36,Photos_Averages!X36,Photos_Averages!Z36)</f>
        <v>17.333333333333332</v>
      </c>
      <c r="M36">
        <f>SUM(Photos_Averages!V36,Photos_Averages!U36,Photos_Averages!T36,Photos_Averages!Q36,Photos_Averages!Y36)</f>
        <v>60.266666666666666</v>
      </c>
    </row>
    <row r="37" spans="1:13" x14ac:dyDescent="0.25">
      <c r="A37" t="s">
        <v>37</v>
      </c>
      <c r="B37" t="s">
        <v>32</v>
      </c>
      <c r="C37">
        <f>SUM(Photos_Averages!C37:D37)</f>
        <v>0.53333333333333333</v>
      </c>
      <c r="D37">
        <v>11.2</v>
      </c>
      <c r="E37">
        <v>0</v>
      </c>
      <c r="F37">
        <v>0</v>
      </c>
      <c r="G37">
        <f>SUM(Photos_Averages!H37,Photos_Averages!I37,Photos_Averages!L37,Photos_Averages!R37)</f>
        <v>0</v>
      </c>
      <c r="H37">
        <v>2.666666666666667</v>
      </c>
      <c r="I37">
        <v>0</v>
      </c>
      <c r="J37">
        <f>SUM(Photos_Averages!M37,Photos_Averages!N37,Photos_Averages!O37,Photos_Averages!P37)</f>
        <v>0.26666666666666672</v>
      </c>
      <c r="K37">
        <v>2.1333333333333329</v>
      </c>
      <c r="L37">
        <f>SUM(Photos_Averages!W37,Photos_Averages!X37,Photos_Averages!Z37)</f>
        <v>30.666666666666668</v>
      </c>
      <c r="M37">
        <f>SUM(Photos_Averages!V37,Photos_Averages!U37,Photos_Averages!T37,Photos_Averages!Q37,Photos_Averages!Y37)</f>
        <v>52.533333333333339</v>
      </c>
    </row>
    <row r="38" spans="1:13" x14ac:dyDescent="0.25">
      <c r="A38" t="s">
        <v>38</v>
      </c>
      <c r="B38" t="s">
        <v>27</v>
      </c>
      <c r="C38">
        <f>SUM(Photos_Averages!C38:D38)</f>
        <v>0</v>
      </c>
      <c r="D38">
        <v>0.8</v>
      </c>
      <c r="E38">
        <v>0.26666666666666672</v>
      </c>
      <c r="F38">
        <v>1.0666666666666671</v>
      </c>
      <c r="G38">
        <f>SUM(Photos_Averages!H38,Photos_Averages!I38,Photos_Averages!L38,Photos_Averages!R38)</f>
        <v>0</v>
      </c>
      <c r="H38">
        <v>0.26666666666666672</v>
      </c>
      <c r="I38">
        <v>0</v>
      </c>
      <c r="J38">
        <f>SUM(Photos_Averages!M38,Photos_Averages!N38,Photos_Averages!O38,Photos_Averages!P38)</f>
        <v>4.2666666666666666</v>
      </c>
      <c r="K38">
        <v>9.3333333333333339</v>
      </c>
      <c r="L38">
        <f>SUM(Photos_Averages!W38,Photos_Averages!X38,Photos_Averages!Z38)</f>
        <v>19.466666666666661</v>
      </c>
      <c r="M38">
        <f>SUM(Photos_Averages!V38,Photos_Averages!U38,Photos_Averages!T38,Photos_Averages!Q38,Photos_Averages!Y38)</f>
        <v>64.533333333333331</v>
      </c>
    </row>
    <row r="39" spans="1:13" x14ac:dyDescent="0.25">
      <c r="A39" t="s">
        <v>38</v>
      </c>
      <c r="B39" t="s">
        <v>28</v>
      </c>
      <c r="C39">
        <f>SUM(Photos_Averages!C39:D39)</f>
        <v>0</v>
      </c>
      <c r="D39">
        <v>1.333333333333333</v>
      </c>
      <c r="E39">
        <v>0</v>
      </c>
      <c r="F39">
        <v>2.4</v>
      </c>
      <c r="G39">
        <f>SUM(Photos_Averages!H39,Photos_Averages!I39,Photos_Averages!L39,Photos_Averages!R39)</f>
        <v>0</v>
      </c>
      <c r="H39">
        <v>0</v>
      </c>
      <c r="I39">
        <v>0</v>
      </c>
      <c r="J39">
        <f>SUM(Photos_Averages!M39,Photos_Averages!N39,Photos_Averages!O39,Photos_Averages!P39)</f>
        <v>5.8666666666666671</v>
      </c>
      <c r="K39">
        <v>6.9333333333333336</v>
      </c>
      <c r="L39">
        <f>SUM(Photos_Averages!W39,Photos_Averages!X39,Photos_Averages!Z39)</f>
        <v>14.133333333333333</v>
      </c>
      <c r="M39">
        <f>SUM(Photos_Averages!V39,Photos_Averages!U39,Photos_Averages!T39,Photos_Averages!Q39,Photos_Averages!Y39)</f>
        <v>69.333333333333329</v>
      </c>
    </row>
    <row r="40" spans="1:13" x14ac:dyDescent="0.25">
      <c r="A40" t="s">
        <v>38</v>
      </c>
      <c r="B40" t="s">
        <v>29</v>
      </c>
      <c r="C40">
        <f>SUM(Photos_Averages!C40:D40)</f>
        <v>0</v>
      </c>
      <c r="D40">
        <v>0</v>
      </c>
      <c r="E40">
        <v>0</v>
      </c>
      <c r="F40">
        <v>0</v>
      </c>
      <c r="G40">
        <f>SUM(Photos_Averages!H40,Photos_Averages!I40,Photos_Averages!L40,Photos_Averages!R40)</f>
        <v>0</v>
      </c>
      <c r="H40">
        <v>0</v>
      </c>
      <c r="I40">
        <v>0.26666666666666672</v>
      </c>
      <c r="J40">
        <f>SUM(Photos_Averages!M40,Photos_Averages!N40,Photos_Averages!O40,Photos_Averages!P40)</f>
        <v>0</v>
      </c>
      <c r="K40">
        <v>5.6</v>
      </c>
      <c r="L40">
        <f>SUM(Photos_Averages!W40,Photos_Averages!X40,Photos_Averages!Z40)</f>
        <v>11.466666666666667</v>
      </c>
      <c r="M40">
        <f>SUM(Photos_Averages!V40,Photos_Averages!U40,Photos_Averages!T40,Photos_Averages!Q40,Photos_Averages!Y40)</f>
        <v>82.666666666666657</v>
      </c>
    </row>
    <row r="41" spans="1:13" x14ac:dyDescent="0.25">
      <c r="A41" t="s">
        <v>38</v>
      </c>
      <c r="B41" t="s">
        <v>30</v>
      </c>
      <c r="C41">
        <f>SUM(Photos_Averages!C41:D41)</f>
        <v>0</v>
      </c>
      <c r="D41">
        <v>0.26666666666666672</v>
      </c>
      <c r="E41">
        <v>0</v>
      </c>
      <c r="F41">
        <v>0</v>
      </c>
      <c r="G41">
        <f>SUM(Photos_Averages!H41,Photos_Averages!I41,Photos_Averages!L41,Photos_Averages!R41)</f>
        <v>0</v>
      </c>
      <c r="H41">
        <v>0</v>
      </c>
      <c r="I41">
        <v>0.26666666666666672</v>
      </c>
      <c r="J41">
        <f>SUM(Photos_Averages!M41,Photos_Averages!N41,Photos_Averages!O41,Photos_Averages!P41)</f>
        <v>0</v>
      </c>
      <c r="K41">
        <v>7.4666666666666668</v>
      </c>
      <c r="L41">
        <f>SUM(Photos_Averages!W41,Photos_Averages!X41,Photos_Averages!Z41)</f>
        <v>9.6</v>
      </c>
      <c r="M41">
        <f>SUM(Photos_Averages!V41,Photos_Averages!U41,Photos_Averages!T41,Photos_Averages!Q41,Photos_Averages!Y41)</f>
        <v>82.4</v>
      </c>
    </row>
    <row r="42" spans="1:13" x14ac:dyDescent="0.25">
      <c r="A42" t="s">
        <v>38</v>
      </c>
      <c r="B42" t="s">
        <v>31</v>
      </c>
      <c r="C42">
        <f>SUM(Photos_Averages!C42:D42)</f>
        <v>0</v>
      </c>
      <c r="D42">
        <v>0</v>
      </c>
      <c r="E42">
        <v>0</v>
      </c>
      <c r="F42">
        <v>0.26666666666666672</v>
      </c>
      <c r="G42">
        <f>SUM(Photos_Averages!H42,Photos_Averages!I42,Photos_Averages!L42,Photos_Averages!R42)</f>
        <v>0</v>
      </c>
      <c r="H42">
        <v>0</v>
      </c>
      <c r="I42">
        <v>0</v>
      </c>
      <c r="J42">
        <f>SUM(Photos_Averages!M42,Photos_Averages!N42,Photos_Averages!O42,Photos_Averages!P42)</f>
        <v>3.4666666666666668</v>
      </c>
      <c r="K42">
        <v>0.8</v>
      </c>
      <c r="L42">
        <f>SUM(Photos_Averages!W42,Photos_Averages!X42,Photos_Averages!Z42)</f>
        <v>12.53333333333333</v>
      </c>
      <c r="M42">
        <f>SUM(Photos_Averages!V42,Photos_Averages!U42,Photos_Averages!T42,Photos_Averages!Q42,Photos_Averages!Y42)</f>
        <v>82.933333333333323</v>
      </c>
    </row>
    <row r="43" spans="1:13" x14ac:dyDescent="0.25">
      <c r="A43" t="s">
        <v>38</v>
      </c>
      <c r="B43" t="s">
        <v>32</v>
      </c>
      <c r="C43">
        <f>SUM(Photos_Averages!C43:D43)</f>
        <v>0</v>
      </c>
      <c r="D43">
        <v>1.6</v>
      </c>
      <c r="E43">
        <v>0.26666666666666672</v>
      </c>
      <c r="F43">
        <v>0.26666666666666672</v>
      </c>
      <c r="G43">
        <f>SUM(Photos_Averages!H43,Photos_Averages!I43,Photos_Averages!L43,Photos_Averages!R43)</f>
        <v>0</v>
      </c>
      <c r="H43">
        <v>0</v>
      </c>
      <c r="I43">
        <v>0</v>
      </c>
      <c r="J43">
        <f>SUM(Photos_Averages!M43,Photos_Averages!N43,Photos_Averages!O43,Photos_Averages!P43)</f>
        <v>2.666666666666667</v>
      </c>
      <c r="K43">
        <v>1.6</v>
      </c>
      <c r="L43">
        <f>SUM(Photos_Averages!W43,Photos_Averages!X43,Photos_Averages!Z43)</f>
        <v>5.8666666666666671</v>
      </c>
      <c r="M43">
        <f>SUM(Photos_Averages!V43,Photos_Averages!U43,Photos_Averages!T43,Photos_Averages!Q43,Photos_Averages!Y43)</f>
        <v>87.733333333333334</v>
      </c>
    </row>
    <row r="44" spans="1:13" x14ac:dyDescent="0.25">
      <c r="A44" t="s">
        <v>39</v>
      </c>
      <c r="B44" t="s">
        <v>27</v>
      </c>
      <c r="C44">
        <f>SUM(Photos_Averages!C44:D44)</f>
        <v>0</v>
      </c>
      <c r="D44">
        <v>0.26666666666666672</v>
      </c>
      <c r="E44">
        <v>1.6</v>
      </c>
      <c r="F44">
        <v>0</v>
      </c>
      <c r="G44">
        <f>SUM(Photos_Averages!H44,Photos_Averages!I44,Photos_Averages!L44,Photos_Averages!R44)</f>
        <v>0</v>
      </c>
      <c r="H44">
        <v>0</v>
      </c>
      <c r="I44">
        <v>0</v>
      </c>
      <c r="J44">
        <f>SUM(Photos_Averages!M44,Photos_Averages!N44,Photos_Averages!O44,Photos_Averages!P44)</f>
        <v>17.06666666666667</v>
      </c>
      <c r="K44">
        <v>0</v>
      </c>
      <c r="L44">
        <f>SUM(Photos_Averages!W44,Photos_Averages!X44,Photos_Averages!Z44)</f>
        <v>7.2</v>
      </c>
      <c r="M44">
        <f>SUM(Photos_Averages!V44,Photos_Averages!U44,Photos_Averages!T44,Photos_Averages!Q44,Photos_Averages!Y44)</f>
        <v>73.866666666666674</v>
      </c>
    </row>
    <row r="45" spans="1:13" x14ac:dyDescent="0.25">
      <c r="A45" t="s">
        <v>39</v>
      </c>
      <c r="B45" t="s">
        <v>28</v>
      </c>
      <c r="C45">
        <f>SUM(Photos_Averages!C45:D45)</f>
        <v>0</v>
      </c>
      <c r="D45">
        <v>0</v>
      </c>
      <c r="E45">
        <v>11.2</v>
      </c>
      <c r="F45">
        <v>0</v>
      </c>
      <c r="G45">
        <f>SUM(Photos_Averages!H45,Photos_Averages!I45,Photos_Averages!L45,Photos_Averages!R45)</f>
        <v>0.26666666666666672</v>
      </c>
      <c r="H45">
        <v>0.26666666666666672</v>
      </c>
      <c r="I45">
        <v>0</v>
      </c>
      <c r="J45">
        <f>SUM(Photos_Averages!M45,Photos_Averages!N45,Photos_Averages!O45,Photos_Averages!P45)</f>
        <v>9.3333333333333339</v>
      </c>
      <c r="K45">
        <v>0</v>
      </c>
      <c r="L45">
        <f>SUM(Photos_Averages!W45,Photos_Averages!X45,Photos_Averages!Z45)</f>
        <v>9.0666666666666664</v>
      </c>
      <c r="M45">
        <f>SUM(Photos_Averages!V45,Photos_Averages!U45,Photos_Averages!T45,Photos_Averages!Q45,Photos_Averages!Y45)</f>
        <v>69.86666666666666</v>
      </c>
    </row>
    <row r="46" spans="1:13" x14ac:dyDescent="0.25">
      <c r="A46" t="s">
        <v>39</v>
      </c>
      <c r="B46" t="s">
        <v>29</v>
      </c>
      <c r="C46">
        <f>SUM(Photos_Averages!C46:D46)</f>
        <v>0</v>
      </c>
      <c r="D46">
        <v>0</v>
      </c>
      <c r="E46">
        <v>22.4</v>
      </c>
      <c r="F46">
        <v>0</v>
      </c>
      <c r="G46">
        <f>SUM(Photos_Averages!H46,Photos_Averages!I46,Photos_Averages!L46,Photos_Averages!R46)</f>
        <v>0</v>
      </c>
      <c r="H46">
        <v>0.53333333333333333</v>
      </c>
      <c r="I46">
        <v>0</v>
      </c>
      <c r="J46">
        <f>SUM(Photos_Averages!M46,Photos_Averages!N46,Photos_Averages!O46,Photos_Averages!P46)</f>
        <v>6.9333333333333336</v>
      </c>
      <c r="K46">
        <v>0</v>
      </c>
      <c r="L46">
        <f>SUM(Photos_Averages!W46,Photos_Averages!X46,Photos_Averages!Z46)</f>
        <v>7.7333333333333334</v>
      </c>
      <c r="M46">
        <f>SUM(Photos_Averages!V46,Photos_Averages!U46,Photos_Averages!T46,Photos_Averages!Q46,Photos_Averages!Y46)</f>
        <v>62.400000000000006</v>
      </c>
    </row>
    <row r="47" spans="1:13" x14ac:dyDescent="0.25">
      <c r="A47" t="s">
        <v>39</v>
      </c>
      <c r="B47" t="s">
        <v>30</v>
      </c>
      <c r="C47">
        <f>SUM(Photos_Averages!C47:D47)</f>
        <v>0</v>
      </c>
      <c r="D47">
        <v>0</v>
      </c>
      <c r="E47">
        <v>24.266666666666669</v>
      </c>
      <c r="F47">
        <v>0</v>
      </c>
      <c r="G47">
        <f>SUM(Photos_Averages!H47,Photos_Averages!I47,Photos_Averages!L47,Photos_Averages!R47)</f>
        <v>0</v>
      </c>
      <c r="H47">
        <v>0</v>
      </c>
      <c r="I47">
        <v>0</v>
      </c>
      <c r="J47">
        <f>SUM(Photos_Averages!M47,Photos_Averages!N47,Photos_Averages!O47,Photos_Averages!P47)</f>
        <v>8</v>
      </c>
      <c r="K47">
        <v>0</v>
      </c>
      <c r="L47">
        <f>SUM(Photos_Averages!W47,Photos_Averages!X47,Photos_Averages!Z47)</f>
        <v>3.2000000000000011</v>
      </c>
      <c r="M47">
        <f>SUM(Photos_Averages!V47,Photos_Averages!U47,Photos_Averages!T47,Photos_Averages!Q47,Photos_Averages!Y47)</f>
        <v>64.533333333333331</v>
      </c>
    </row>
    <row r="48" spans="1:13" x14ac:dyDescent="0.25">
      <c r="A48" t="s">
        <v>39</v>
      </c>
      <c r="B48" t="s">
        <v>31</v>
      </c>
      <c r="C48">
        <f>SUM(Photos_Averages!C48:D48)</f>
        <v>0</v>
      </c>
      <c r="D48">
        <v>0</v>
      </c>
      <c r="E48">
        <v>36.266666666666673</v>
      </c>
      <c r="F48">
        <v>0</v>
      </c>
      <c r="G48">
        <f>SUM(Photos_Averages!H48,Photos_Averages!I48,Photos_Averages!L48,Photos_Averages!R48)</f>
        <v>0</v>
      </c>
      <c r="H48">
        <v>0</v>
      </c>
      <c r="I48">
        <v>0</v>
      </c>
      <c r="J48">
        <f>SUM(Photos_Averages!M48,Photos_Averages!N48,Photos_Averages!O48,Photos_Averages!P48)</f>
        <v>5.6</v>
      </c>
      <c r="K48">
        <v>0</v>
      </c>
      <c r="L48">
        <f>SUM(Photos_Averages!W48,Photos_Averages!X48,Photos_Averages!Z48)</f>
        <v>3.1999999999999997</v>
      </c>
      <c r="M48">
        <f>SUM(Photos_Averages!V48,Photos_Averages!U48,Photos_Averages!T48,Photos_Averages!Q48,Photos_Averages!Y48)</f>
        <v>54.933333333333323</v>
      </c>
    </row>
    <row r="49" spans="1:13" x14ac:dyDescent="0.25">
      <c r="A49" t="s">
        <v>39</v>
      </c>
      <c r="B49" t="s">
        <v>32</v>
      </c>
      <c r="C49">
        <f>SUM(Photos_Averages!C49:D49)</f>
        <v>0</v>
      </c>
      <c r="D49">
        <v>0.53333333333333333</v>
      </c>
      <c r="E49">
        <v>26.666666666666671</v>
      </c>
      <c r="F49">
        <v>0</v>
      </c>
      <c r="G49">
        <f>SUM(Photos_Averages!H49,Photos_Averages!I49,Photos_Averages!L49,Photos_Averages!R49)</f>
        <v>0</v>
      </c>
      <c r="H49">
        <v>0.26666666666666672</v>
      </c>
      <c r="I49">
        <v>0</v>
      </c>
      <c r="J49">
        <f>SUM(Photos_Averages!M49,Photos_Averages!N49,Photos_Averages!O49,Photos_Averages!P49)</f>
        <v>4.5333333333333332</v>
      </c>
      <c r="K49">
        <v>0</v>
      </c>
      <c r="L49">
        <f>SUM(Photos_Averages!W49,Photos_Averages!X49,Photos_Averages!Z49)</f>
        <v>5.0666666666666664</v>
      </c>
      <c r="M49">
        <f>SUM(Photos_Averages!V49,Photos_Averages!U49,Photos_Averages!T49,Photos_Averages!Q49,Photos_Averages!Y49)</f>
        <v>62.933333333333344</v>
      </c>
    </row>
    <row r="50" spans="1:13" x14ac:dyDescent="0.25">
      <c r="A50" t="s">
        <v>40</v>
      </c>
      <c r="B50" t="s">
        <v>27</v>
      </c>
      <c r="C50">
        <f>SUM(Photos_Averages!C50:D50)</f>
        <v>0</v>
      </c>
      <c r="D50">
        <v>3.4666666666666668</v>
      </c>
      <c r="E50">
        <v>0</v>
      </c>
      <c r="F50">
        <v>3.4666666666666668</v>
      </c>
      <c r="G50">
        <f>SUM(Photos_Averages!H50,Photos_Averages!I50,Photos_Averages!L50,Photos_Averages!R50)</f>
        <v>0</v>
      </c>
      <c r="H50">
        <v>0</v>
      </c>
      <c r="I50">
        <v>0</v>
      </c>
      <c r="J50">
        <f>SUM(Photos_Averages!M50,Photos_Averages!N50,Photos_Averages!O50,Photos_Averages!P50)</f>
        <v>4.5333333333333341</v>
      </c>
      <c r="K50">
        <v>3.2</v>
      </c>
      <c r="L50">
        <f>SUM(Photos_Averages!W50,Photos_Averages!X50,Photos_Averages!Z50)</f>
        <v>4.8000000000000007</v>
      </c>
      <c r="M50">
        <f>SUM(Photos_Averages!V50,Photos_Averages!U50,Photos_Averages!T50,Photos_Averages!Q50,Photos_Averages!Y50)</f>
        <v>80.533333333333331</v>
      </c>
    </row>
    <row r="51" spans="1:13" x14ac:dyDescent="0.25">
      <c r="A51" t="s">
        <v>40</v>
      </c>
      <c r="B51" t="s">
        <v>28</v>
      </c>
      <c r="C51">
        <f>SUM(Photos_Averages!C51:D51)</f>
        <v>1.333333333333333</v>
      </c>
      <c r="D51">
        <v>4</v>
      </c>
      <c r="E51">
        <v>2.4</v>
      </c>
      <c r="F51">
        <v>1.8666666666666669</v>
      </c>
      <c r="G51">
        <f>SUM(Photos_Averages!H51,Photos_Averages!I51,Photos_Averages!L51,Photos_Averages!R51)</f>
        <v>0</v>
      </c>
      <c r="H51">
        <v>0</v>
      </c>
      <c r="I51">
        <v>0</v>
      </c>
      <c r="J51">
        <f>SUM(Photos_Averages!M51,Photos_Averages!N51,Photos_Averages!O51,Photos_Averages!P51)</f>
        <v>1.8666666666666663</v>
      </c>
      <c r="K51">
        <v>4</v>
      </c>
      <c r="L51">
        <f>SUM(Photos_Averages!W51,Photos_Averages!X51,Photos_Averages!Z51)</f>
        <v>3.7333333333333325</v>
      </c>
      <c r="M51">
        <f>SUM(Photos_Averages!V51,Photos_Averages!U51,Photos_Averages!T51,Photos_Averages!Q51,Photos_Averages!Y51)</f>
        <v>80.8</v>
      </c>
    </row>
    <row r="52" spans="1:13" x14ac:dyDescent="0.25">
      <c r="A52" t="s">
        <v>40</v>
      </c>
      <c r="B52" t="s">
        <v>29</v>
      </c>
      <c r="C52">
        <f>SUM(Photos_Averages!C52:D52)</f>
        <v>0</v>
      </c>
      <c r="D52">
        <v>4.5333333333333332</v>
      </c>
      <c r="E52">
        <v>0</v>
      </c>
      <c r="F52">
        <v>2.9333333333333331</v>
      </c>
      <c r="G52">
        <f>SUM(Photos_Averages!H52,Photos_Averages!I52,Photos_Averages!L52,Photos_Averages!R52)</f>
        <v>0</v>
      </c>
      <c r="H52">
        <v>0</v>
      </c>
      <c r="I52">
        <v>0</v>
      </c>
      <c r="J52">
        <f>SUM(Photos_Averages!M52,Photos_Averages!N52,Photos_Averages!O52,Photos_Averages!P52)</f>
        <v>0.53333333333333333</v>
      </c>
      <c r="K52">
        <v>2.4</v>
      </c>
      <c r="L52">
        <f>SUM(Photos_Averages!W52,Photos_Averages!X52,Photos_Averages!Z52)</f>
        <v>4.8</v>
      </c>
      <c r="M52">
        <f>SUM(Photos_Averages!V52,Photos_Averages!U52,Photos_Averages!T52,Photos_Averages!Q52,Photos_Averages!Y52)</f>
        <v>84.800000000000011</v>
      </c>
    </row>
    <row r="53" spans="1:13" x14ac:dyDescent="0.25">
      <c r="A53" t="s">
        <v>40</v>
      </c>
      <c r="B53" t="s">
        <v>30</v>
      </c>
      <c r="C53">
        <f>SUM(Photos_Averages!C53:D53)</f>
        <v>0</v>
      </c>
      <c r="D53">
        <v>4.5333333333333332</v>
      </c>
      <c r="E53">
        <v>1.333333333333333</v>
      </c>
      <c r="F53">
        <v>4</v>
      </c>
      <c r="G53">
        <f>SUM(Photos_Averages!H53,Photos_Averages!I53,Photos_Averages!L53,Photos_Averages!R53)</f>
        <v>0</v>
      </c>
      <c r="H53">
        <v>0</v>
      </c>
      <c r="I53">
        <v>0.26666666666666672</v>
      </c>
      <c r="J53">
        <f>SUM(Photos_Averages!M53,Photos_Averages!N53,Photos_Averages!O53,Photos_Averages!P53)</f>
        <v>0</v>
      </c>
      <c r="K53">
        <v>3.7333333333333329</v>
      </c>
      <c r="L53">
        <f>SUM(Photos_Averages!W53,Photos_Averages!X53,Photos_Averages!Z53)</f>
        <v>6.4</v>
      </c>
      <c r="M53">
        <f>SUM(Photos_Averages!V53,Photos_Averages!U53,Photos_Averages!T53,Photos_Averages!Q53,Photos_Averages!Y53)</f>
        <v>79.733333333333334</v>
      </c>
    </row>
    <row r="54" spans="1:13" x14ac:dyDescent="0.25">
      <c r="A54" t="s">
        <v>40</v>
      </c>
      <c r="B54" t="s">
        <v>31</v>
      </c>
      <c r="C54">
        <f>SUM(Photos_Averages!C54:D54)</f>
        <v>0</v>
      </c>
      <c r="D54">
        <v>1.333333333333333</v>
      </c>
      <c r="E54">
        <v>9.6</v>
      </c>
      <c r="F54">
        <v>0.26666666666666672</v>
      </c>
      <c r="G54">
        <f>SUM(Photos_Averages!H54,Photos_Averages!I54,Photos_Averages!L54,Photos_Averages!R54)</f>
        <v>0</v>
      </c>
      <c r="H54">
        <v>0</v>
      </c>
      <c r="I54">
        <v>0.26666666666666672</v>
      </c>
      <c r="J54">
        <f>SUM(Photos_Averages!M54,Photos_Averages!N54,Photos_Averages!O54,Photos_Averages!P54)</f>
        <v>1.6000000000000005</v>
      </c>
      <c r="K54">
        <v>0.53333333333333333</v>
      </c>
      <c r="L54">
        <f>SUM(Photos_Averages!W54,Photos_Averages!X54,Photos_Averages!Z54)</f>
        <v>5.3333333333333339</v>
      </c>
      <c r="M54">
        <f>SUM(Photos_Averages!V54,Photos_Averages!U54,Photos_Averages!T54,Photos_Averages!Q54,Photos_Averages!Y54)</f>
        <v>81.066666666666663</v>
      </c>
    </row>
    <row r="55" spans="1:13" x14ac:dyDescent="0.25">
      <c r="A55" t="s">
        <v>40</v>
      </c>
      <c r="B55" t="s">
        <v>32</v>
      </c>
      <c r="C55">
        <f>SUM(Photos_Averages!C55:D55)</f>
        <v>0</v>
      </c>
      <c r="D55">
        <v>0</v>
      </c>
      <c r="E55">
        <v>0.26666666666666672</v>
      </c>
      <c r="F55">
        <v>1.333333333333333</v>
      </c>
      <c r="G55">
        <f>SUM(Photos_Averages!H55,Photos_Averages!I55,Photos_Averages!L55,Photos_Averages!R55)</f>
        <v>0</v>
      </c>
      <c r="H55">
        <v>0.26666666666666672</v>
      </c>
      <c r="I55">
        <v>0</v>
      </c>
      <c r="J55">
        <f>SUM(Photos_Averages!M55,Photos_Averages!N55,Photos_Averages!O55,Photos_Averages!P55)</f>
        <v>0.26666666666666672</v>
      </c>
      <c r="K55">
        <v>2.666666666666667</v>
      </c>
      <c r="L55">
        <f>SUM(Photos_Averages!W55,Photos_Averages!X55,Photos_Averages!Z55)</f>
        <v>6.666666666666667</v>
      </c>
      <c r="M55">
        <f>SUM(Photos_Averages!V55,Photos_Averages!U55,Photos_Averages!T55,Photos_Averages!Q55,Photos_Averages!Y55)</f>
        <v>88.533333333333331</v>
      </c>
    </row>
    <row r="56" spans="1:13" x14ac:dyDescent="0.25">
      <c r="A56" t="s">
        <v>41</v>
      </c>
      <c r="B56" t="s">
        <v>27</v>
      </c>
      <c r="C56">
        <f>SUM(Photos_Averages!C56:D56)</f>
        <v>0</v>
      </c>
      <c r="D56">
        <v>0</v>
      </c>
      <c r="E56">
        <v>2.1333333333333329</v>
      </c>
      <c r="F56">
        <v>0</v>
      </c>
      <c r="G56">
        <f>SUM(Photos_Averages!H56,Photos_Averages!I56,Photos_Averages!L56,Photos_Averages!R56)</f>
        <v>0.8</v>
      </c>
      <c r="H56">
        <v>0</v>
      </c>
      <c r="I56">
        <v>0.26666666666666672</v>
      </c>
      <c r="J56">
        <f>SUM(Photos_Averages!M56,Photos_Averages!N56,Photos_Averages!O56,Photos_Averages!P56)</f>
        <v>2.9333333333333327</v>
      </c>
      <c r="K56">
        <v>0</v>
      </c>
      <c r="L56">
        <f>SUM(Photos_Averages!W56,Photos_Averages!X56,Photos_Averages!Z56)</f>
        <v>16.533333333333335</v>
      </c>
      <c r="M56">
        <f>SUM(Photos_Averages!V56,Photos_Averages!U56,Photos_Averages!T56,Photos_Averages!Q56,Photos_Averages!Y56)</f>
        <v>77.333333333333343</v>
      </c>
    </row>
    <row r="57" spans="1:13" x14ac:dyDescent="0.25">
      <c r="A57" t="s">
        <v>41</v>
      </c>
      <c r="B57" t="s">
        <v>28</v>
      </c>
      <c r="C57">
        <f>SUM(Photos_Averages!C57:D57)</f>
        <v>0</v>
      </c>
      <c r="D57">
        <v>0</v>
      </c>
      <c r="E57">
        <v>1</v>
      </c>
      <c r="F57">
        <v>0</v>
      </c>
      <c r="G57">
        <f>SUM(Photos_Averages!H57,Photos_Averages!I57,Photos_Averages!L57,Photos_Averages!R57)</f>
        <v>0.75</v>
      </c>
      <c r="H57">
        <v>0</v>
      </c>
      <c r="I57">
        <v>10.5</v>
      </c>
      <c r="J57">
        <f>SUM(Photos_Averages!M57,Photos_Averages!N57,Photos_Averages!O57,Photos_Averages!P57)</f>
        <v>1.5</v>
      </c>
      <c r="K57">
        <v>0</v>
      </c>
      <c r="L57">
        <f>SUM(Photos_Averages!W57,Photos_Averages!X57,Photos_Averages!Z57)</f>
        <v>11.25</v>
      </c>
      <c r="M57">
        <f>SUM(Photos_Averages!V57,Photos_Averages!U57,Photos_Averages!T57,Photos_Averages!Q57,Photos_Averages!Y57)</f>
        <v>75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"/>
  <sheetViews>
    <sheetView workbookViewId="0">
      <selection activeCell="B2" sqref="B2:Y2"/>
    </sheetView>
  </sheetViews>
  <sheetFormatPr defaultColWidth="11.09765625" defaultRowHeight="13.8" x14ac:dyDescent="0.25"/>
  <sheetData>
    <row r="1" spans="1:25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</row>
    <row r="2" spans="1:25" x14ac:dyDescent="0.25">
      <c r="A2" t="s">
        <v>66</v>
      </c>
      <c r="B2">
        <v>0</v>
      </c>
      <c r="C2">
        <v>0</v>
      </c>
      <c r="D2">
        <v>10.755555555555601</v>
      </c>
      <c r="E2">
        <v>0.133333333333333</v>
      </c>
      <c r="F2">
        <v>0</v>
      </c>
      <c r="G2">
        <v>0</v>
      </c>
      <c r="H2">
        <v>0.133333333333333</v>
      </c>
      <c r="I2">
        <v>2.6666666666666701</v>
      </c>
      <c r="J2">
        <v>0.22222222222222199</v>
      </c>
      <c r="K2">
        <v>0.66666666666666696</v>
      </c>
      <c r="L2">
        <v>0.71111111111111103</v>
      </c>
      <c r="M2">
        <v>0.266666666666667</v>
      </c>
      <c r="N2">
        <v>0</v>
      </c>
      <c r="O2">
        <v>0.133333333333333</v>
      </c>
      <c r="P2">
        <v>1.68888888888889</v>
      </c>
      <c r="Q2">
        <v>0</v>
      </c>
      <c r="R2">
        <v>0</v>
      </c>
      <c r="S2">
        <v>0.17777777777777801</v>
      </c>
      <c r="T2">
        <v>8.8888888888888906E-2</v>
      </c>
      <c r="U2">
        <v>0</v>
      </c>
      <c r="V2">
        <v>36.622222222222199</v>
      </c>
      <c r="W2">
        <v>4.2666666666666702</v>
      </c>
      <c r="X2">
        <v>35.911111111111097</v>
      </c>
      <c r="Y2">
        <v>5.5555555555555598</v>
      </c>
    </row>
    <row r="3" spans="1:25" x14ac:dyDescent="0.25">
      <c r="A3" t="s">
        <v>67</v>
      </c>
      <c r="B3">
        <v>4.62222222222222</v>
      </c>
      <c r="C3">
        <v>2.1777777777777798</v>
      </c>
      <c r="D3">
        <v>4.9777777777777796</v>
      </c>
      <c r="E3">
        <v>2.5777777777777802</v>
      </c>
      <c r="F3">
        <v>0.4</v>
      </c>
      <c r="G3">
        <v>0</v>
      </c>
      <c r="H3">
        <v>4.4444444444444502E-2</v>
      </c>
      <c r="I3">
        <v>1.51111111111111</v>
      </c>
      <c r="J3">
        <v>4.4444444444444502E-2</v>
      </c>
      <c r="K3">
        <v>0</v>
      </c>
      <c r="L3">
        <v>2.2666666666666702</v>
      </c>
      <c r="M3">
        <v>2.8888888888888902</v>
      </c>
      <c r="N3">
        <v>0</v>
      </c>
      <c r="O3">
        <v>0.22222222222222199</v>
      </c>
      <c r="P3">
        <v>1.51111111111111</v>
      </c>
      <c r="Q3">
        <v>8.8888888888888906E-2</v>
      </c>
      <c r="R3">
        <v>8.8888888888888906E-2</v>
      </c>
      <c r="S3">
        <v>8.8888888888888906E-2</v>
      </c>
      <c r="T3">
        <v>0</v>
      </c>
      <c r="U3">
        <v>0</v>
      </c>
      <c r="V3">
        <v>20.533333333333299</v>
      </c>
      <c r="W3">
        <v>1.0222222222222199</v>
      </c>
      <c r="X3">
        <v>53.955555555555598</v>
      </c>
      <c r="Y3">
        <v>0.97777777777777797</v>
      </c>
    </row>
    <row r="4" spans="1:25" x14ac:dyDescent="0.25">
      <c r="A4" t="s">
        <v>68</v>
      </c>
      <c r="B4">
        <v>1.86666666666667</v>
      </c>
      <c r="C4">
        <v>0</v>
      </c>
      <c r="D4">
        <v>12.311111111111099</v>
      </c>
      <c r="E4">
        <v>1.24444444444444</v>
      </c>
      <c r="F4">
        <v>0.17777777777777801</v>
      </c>
      <c r="G4">
        <v>0</v>
      </c>
      <c r="H4">
        <v>0</v>
      </c>
      <c r="I4">
        <v>3.7777777777777799</v>
      </c>
      <c r="J4">
        <v>0</v>
      </c>
      <c r="K4">
        <v>0.133333333333333</v>
      </c>
      <c r="L4">
        <v>1.0222222222222199</v>
      </c>
      <c r="M4">
        <v>0.66666666666666696</v>
      </c>
      <c r="N4">
        <v>0</v>
      </c>
      <c r="O4">
        <v>0.31111111111111101</v>
      </c>
      <c r="P4">
        <v>1.2</v>
      </c>
      <c r="Q4">
        <v>8.8888888888888906E-2</v>
      </c>
      <c r="R4">
        <v>2.3555555555555601</v>
      </c>
      <c r="S4">
        <v>0.35555555555555601</v>
      </c>
      <c r="T4">
        <v>0</v>
      </c>
      <c r="U4">
        <v>0</v>
      </c>
      <c r="V4">
        <v>22.088888888888899</v>
      </c>
      <c r="W4">
        <v>3.1111111111111098</v>
      </c>
      <c r="X4">
        <v>47.022222222222197</v>
      </c>
      <c r="Y4">
        <v>2.2666666666666702</v>
      </c>
    </row>
    <row r="5" spans="1:25" x14ac:dyDescent="0.25">
      <c r="A5" t="s">
        <v>69</v>
      </c>
      <c r="B5">
        <v>0.31111111111111101</v>
      </c>
      <c r="C5">
        <v>0</v>
      </c>
      <c r="D5">
        <v>16.711111111111101</v>
      </c>
      <c r="E5">
        <v>2.4888888888888898</v>
      </c>
      <c r="F5">
        <v>0.17777777777777801</v>
      </c>
      <c r="G5">
        <v>0</v>
      </c>
      <c r="H5">
        <v>4.4444444444444502E-2</v>
      </c>
      <c r="I5">
        <v>2.8888888888888902</v>
      </c>
      <c r="J5">
        <v>0</v>
      </c>
      <c r="K5">
        <v>0</v>
      </c>
      <c r="L5">
        <v>0.17777777777777801</v>
      </c>
      <c r="M5">
        <v>0.62222222222222201</v>
      </c>
      <c r="N5">
        <v>0</v>
      </c>
      <c r="O5">
        <v>4.4444444444444502E-2</v>
      </c>
      <c r="P5">
        <v>2.0444444444444398</v>
      </c>
      <c r="Q5">
        <v>0</v>
      </c>
      <c r="R5">
        <v>0.133333333333333</v>
      </c>
      <c r="S5">
        <v>0</v>
      </c>
      <c r="T5">
        <v>0</v>
      </c>
      <c r="U5">
        <v>2.3555555555555601</v>
      </c>
      <c r="V5">
        <v>12.533333333333299</v>
      </c>
      <c r="W5">
        <v>1.2888888888888901</v>
      </c>
      <c r="X5">
        <v>56.177777777777798</v>
      </c>
      <c r="Y5">
        <v>2</v>
      </c>
    </row>
    <row r="6" spans="1:25" x14ac:dyDescent="0.25">
      <c r="A6" t="s">
        <v>70</v>
      </c>
      <c r="B6">
        <v>2.6666666666666701</v>
      </c>
      <c r="C6">
        <v>0</v>
      </c>
      <c r="D6">
        <v>5.8222222222222202</v>
      </c>
      <c r="E6">
        <v>0.44444444444444497</v>
      </c>
      <c r="F6">
        <v>0</v>
      </c>
      <c r="G6">
        <v>0</v>
      </c>
      <c r="H6">
        <v>0.133333333333333</v>
      </c>
      <c r="I6">
        <v>0.75555555555555598</v>
      </c>
      <c r="J6">
        <v>0.133333333333333</v>
      </c>
      <c r="K6">
        <v>0</v>
      </c>
      <c r="L6">
        <v>0.53333333333333299</v>
      </c>
      <c r="M6">
        <v>0.62222222222222201</v>
      </c>
      <c r="N6">
        <v>0</v>
      </c>
      <c r="O6">
        <v>0</v>
      </c>
      <c r="P6">
        <v>2</v>
      </c>
      <c r="Q6">
        <v>0</v>
      </c>
      <c r="R6">
        <v>4.4444444444444502E-2</v>
      </c>
      <c r="S6">
        <v>0.31111111111111101</v>
      </c>
      <c r="T6">
        <v>0</v>
      </c>
      <c r="U6">
        <v>0</v>
      </c>
      <c r="V6">
        <v>19.822222222222202</v>
      </c>
      <c r="W6">
        <v>3.4222222222222198</v>
      </c>
      <c r="X6">
        <v>61.866666666666703</v>
      </c>
      <c r="Y6">
        <v>1.4222222222222201</v>
      </c>
    </row>
    <row r="7" spans="1:25" x14ac:dyDescent="0.25">
      <c r="A7" t="s">
        <v>71</v>
      </c>
      <c r="B7">
        <v>0.8</v>
      </c>
      <c r="C7">
        <v>0</v>
      </c>
      <c r="D7">
        <v>13.5111111111111</v>
      </c>
      <c r="E7">
        <v>0.48888888888888898</v>
      </c>
      <c r="F7">
        <v>0</v>
      </c>
      <c r="G7">
        <v>8.8888888888888906E-2</v>
      </c>
      <c r="H7">
        <v>0.133333333333333</v>
      </c>
      <c r="I7">
        <v>0.844444444444445</v>
      </c>
      <c r="J7">
        <v>8.8888888888888906E-2</v>
      </c>
      <c r="K7">
        <v>0</v>
      </c>
      <c r="L7">
        <v>1.2</v>
      </c>
      <c r="M7">
        <v>0.88888888888888895</v>
      </c>
      <c r="N7">
        <v>0</v>
      </c>
      <c r="O7">
        <v>0</v>
      </c>
      <c r="P7">
        <v>0.66666666666666696</v>
      </c>
      <c r="Q7">
        <v>0</v>
      </c>
      <c r="R7">
        <v>2.6666666666666701</v>
      </c>
      <c r="S7">
        <v>0.22222222222222199</v>
      </c>
      <c r="T7">
        <v>0</v>
      </c>
      <c r="U7">
        <v>0</v>
      </c>
      <c r="V7">
        <v>10.133333333333301</v>
      </c>
      <c r="W7">
        <v>3.37777777777778</v>
      </c>
      <c r="X7">
        <v>60.177777777777798</v>
      </c>
      <c r="Y7">
        <v>4.7111111111111104</v>
      </c>
    </row>
    <row r="8" spans="1:25" x14ac:dyDescent="0.25">
      <c r="A8" t="s">
        <v>72</v>
      </c>
      <c r="B8">
        <v>0</v>
      </c>
      <c r="C8">
        <v>0</v>
      </c>
      <c r="D8">
        <v>0.66666666666666696</v>
      </c>
      <c r="E8">
        <v>8.8888888888888906E-2</v>
      </c>
      <c r="F8">
        <v>0.66666666666666696</v>
      </c>
      <c r="G8">
        <v>0</v>
      </c>
      <c r="H8">
        <v>0</v>
      </c>
      <c r="I8">
        <v>4.4444444444444502E-2</v>
      </c>
      <c r="J8">
        <v>8.8888888888888906E-2</v>
      </c>
      <c r="K8">
        <v>0</v>
      </c>
      <c r="L8">
        <v>1.55555555555556</v>
      </c>
      <c r="M8">
        <v>0.31111111111111101</v>
      </c>
      <c r="N8">
        <v>4.4444444444444502E-2</v>
      </c>
      <c r="O8">
        <v>0.8</v>
      </c>
      <c r="P8">
        <v>2.0888888888888899</v>
      </c>
      <c r="Q8">
        <v>0</v>
      </c>
      <c r="R8">
        <v>5.2888888888888896</v>
      </c>
      <c r="S8">
        <v>2.1777777777777798</v>
      </c>
      <c r="T8">
        <v>0</v>
      </c>
      <c r="U8">
        <v>0</v>
      </c>
      <c r="V8">
        <v>2.62222222222222</v>
      </c>
      <c r="W8">
        <v>1.2888888888888901</v>
      </c>
      <c r="X8">
        <v>74</v>
      </c>
      <c r="Y8">
        <v>8.2666666666666693</v>
      </c>
    </row>
    <row r="9" spans="1:25" x14ac:dyDescent="0.25">
      <c r="A9" t="s">
        <v>73</v>
      </c>
      <c r="B9">
        <v>0</v>
      </c>
      <c r="C9">
        <v>0</v>
      </c>
      <c r="D9">
        <v>0.133333333333333</v>
      </c>
      <c r="E9">
        <v>20.399999999999999</v>
      </c>
      <c r="F9">
        <v>0</v>
      </c>
      <c r="G9">
        <v>0</v>
      </c>
      <c r="H9">
        <v>0</v>
      </c>
      <c r="I9">
        <v>0.17777777777777801</v>
      </c>
      <c r="J9">
        <v>0</v>
      </c>
      <c r="K9">
        <v>4.4444444444444502E-2</v>
      </c>
      <c r="L9">
        <v>1.2</v>
      </c>
      <c r="M9">
        <v>6.8</v>
      </c>
      <c r="N9">
        <v>0</v>
      </c>
      <c r="O9">
        <v>0.57777777777777795</v>
      </c>
      <c r="P9">
        <v>1.06666666666667</v>
      </c>
      <c r="Q9">
        <v>0</v>
      </c>
      <c r="R9">
        <v>0</v>
      </c>
      <c r="S9">
        <v>0.266666666666667</v>
      </c>
      <c r="T9">
        <v>0</v>
      </c>
      <c r="U9">
        <v>0</v>
      </c>
      <c r="V9">
        <v>2.0888888888888899</v>
      </c>
      <c r="W9">
        <v>0.266666666666667</v>
      </c>
      <c r="X9">
        <v>63.422222222222203</v>
      </c>
      <c r="Y9">
        <v>3.5555555555555598</v>
      </c>
    </row>
    <row r="10" spans="1:25" x14ac:dyDescent="0.25">
      <c r="A10" t="s">
        <v>74</v>
      </c>
      <c r="B10">
        <v>0.22222222222222199</v>
      </c>
      <c r="C10">
        <v>0</v>
      </c>
      <c r="D10">
        <v>2.9777777777777801</v>
      </c>
      <c r="E10">
        <v>2.2666666666666702</v>
      </c>
      <c r="F10">
        <v>2.31111111111111</v>
      </c>
      <c r="G10">
        <v>0</v>
      </c>
      <c r="H10">
        <v>0</v>
      </c>
      <c r="I10">
        <v>4.4444444444444502E-2</v>
      </c>
      <c r="J10">
        <v>8.8888888888888906E-2</v>
      </c>
      <c r="K10">
        <v>0</v>
      </c>
      <c r="L10">
        <v>0.71111111111111103</v>
      </c>
      <c r="M10">
        <v>0.66666666666666696</v>
      </c>
      <c r="N10">
        <v>0</v>
      </c>
      <c r="O10">
        <v>8.8888888888888906E-2</v>
      </c>
      <c r="P10">
        <v>1.2</v>
      </c>
      <c r="Q10">
        <v>0</v>
      </c>
      <c r="R10">
        <v>2.75555555555556</v>
      </c>
      <c r="S10">
        <v>16.622222222222199</v>
      </c>
      <c r="T10">
        <v>0</v>
      </c>
      <c r="U10">
        <v>0</v>
      </c>
      <c r="V10">
        <v>1.51111111111111</v>
      </c>
      <c r="W10">
        <v>0.48888888888888898</v>
      </c>
      <c r="X10">
        <v>64.755555555555603</v>
      </c>
      <c r="Y10">
        <v>3.2888888888888901</v>
      </c>
    </row>
    <row r="11" spans="1:25" x14ac:dyDescent="0.25">
      <c r="A11" t="s">
        <v>75</v>
      </c>
      <c r="B11">
        <v>0</v>
      </c>
      <c r="C11">
        <v>0</v>
      </c>
      <c r="D11">
        <v>0</v>
      </c>
      <c r="E11">
        <v>1.56666666666667</v>
      </c>
      <c r="F11">
        <v>0</v>
      </c>
      <c r="G11">
        <v>0.25</v>
      </c>
      <c r="H11">
        <v>0.25833333333333303</v>
      </c>
      <c r="I11">
        <v>0</v>
      </c>
      <c r="J11">
        <v>5.3833333333333302</v>
      </c>
      <c r="K11">
        <v>0.266666666666667</v>
      </c>
      <c r="L11">
        <v>0.266666666666667</v>
      </c>
      <c r="M11">
        <v>1.81666666666667</v>
      </c>
      <c r="N11">
        <v>0</v>
      </c>
      <c r="O11">
        <v>0.133333333333333</v>
      </c>
      <c r="P11">
        <v>2.4666666666666699</v>
      </c>
      <c r="Q11">
        <v>0</v>
      </c>
      <c r="R11">
        <v>0</v>
      </c>
      <c r="S11">
        <v>1.13333333333333</v>
      </c>
      <c r="T11">
        <v>0</v>
      </c>
      <c r="U11">
        <v>0</v>
      </c>
      <c r="V11">
        <v>7.43333333333333</v>
      </c>
      <c r="W11">
        <v>3.9</v>
      </c>
      <c r="X11">
        <v>72.566666666666706</v>
      </c>
      <c r="Y11">
        <v>2.55833333333333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C3D4-F359-48D8-AA3D-91350B8FC138}">
  <dimension ref="A1:AJ34"/>
  <sheetViews>
    <sheetView zoomScale="55" zoomScaleNormal="55" workbookViewId="0">
      <selection activeCell="A13" sqref="A13:L23"/>
    </sheetView>
  </sheetViews>
  <sheetFormatPr defaultColWidth="11.09765625" defaultRowHeight="13.8" x14ac:dyDescent="0.25"/>
  <cols>
    <col min="1" max="1" width="20.09765625" bestFit="1" customWidth="1"/>
    <col min="2" max="2" width="14.3984375" bestFit="1" customWidth="1"/>
    <col min="3" max="3" width="13.3984375" bestFit="1" customWidth="1"/>
    <col min="4" max="4" width="15.296875" bestFit="1" customWidth="1"/>
    <col min="5" max="5" width="11.8984375" bestFit="1" customWidth="1"/>
    <col min="6" max="6" width="17.69921875" bestFit="1" customWidth="1"/>
    <col min="7" max="7" width="15.3984375" bestFit="1" customWidth="1"/>
    <col min="9" max="9" width="18.8984375" bestFit="1" customWidth="1"/>
    <col min="12" max="12" width="18.09765625" bestFit="1" customWidth="1"/>
    <col min="15" max="15" width="12" bestFit="1" customWidth="1"/>
    <col min="19" max="19" width="18.8984375" bestFit="1" customWidth="1"/>
  </cols>
  <sheetData>
    <row r="1" spans="1:36" x14ac:dyDescent="0.25">
      <c r="A1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89</v>
      </c>
      <c r="Q1" s="7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22</v>
      </c>
      <c r="W1" s="6" t="s">
        <v>23</v>
      </c>
      <c r="X1" s="5" t="s">
        <v>24</v>
      </c>
      <c r="Y1" s="6" t="s">
        <v>25</v>
      </c>
    </row>
    <row r="2" spans="1:36" x14ac:dyDescent="0.25">
      <c r="A2" t="s">
        <v>26</v>
      </c>
      <c r="B2">
        <v>0</v>
      </c>
      <c r="C2">
        <v>0</v>
      </c>
      <c r="D2">
        <v>10.755555555555601</v>
      </c>
      <c r="E2">
        <v>0.133333333333333</v>
      </c>
      <c r="F2">
        <v>0</v>
      </c>
      <c r="G2">
        <v>0</v>
      </c>
      <c r="H2">
        <v>0.133333333333333</v>
      </c>
      <c r="I2">
        <v>2.6666666666666701</v>
      </c>
      <c r="J2">
        <v>0.22222222222222199</v>
      </c>
      <c r="K2">
        <v>0.66666666666666696</v>
      </c>
      <c r="L2">
        <v>0.71111111111111103</v>
      </c>
      <c r="M2">
        <v>0.266666666666667</v>
      </c>
      <c r="N2">
        <v>0</v>
      </c>
      <c r="O2">
        <v>0.133333333333333</v>
      </c>
      <c r="P2">
        <v>1.68888888888889</v>
      </c>
      <c r="Q2">
        <v>0</v>
      </c>
      <c r="R2">
        <v>0</v>
      </c>
      <c r="S2">
        <v>0.17777777777777801</v>
      </c>
      <c r="T2">
        <v>8.8888888888888906E-2</v>
      </c>
      <c r="U2">
        <v>0</v>
      </c>
      <c r="V2">
        <v>36.622222222222199</v>
      </c>
      <c r="W2">
        <v>4.2666666666666702</v>
      </c>
      <c r="X2">
        <v>35.911111111111097</v>
      </c>
      <c r="Y2">
        <v>5.5555555555555598</v>
      </c>
    </row>
    <row r="3" spans="1:36" x14ac:dyDescent="0.25">
      <c r="A3" t="s">
        <v>33</v>
      </c>
      <c r="B3">
        <v>4.62222222222222</v>
      </c>
      <c r="C3">
        <v>2.1777777777777798</v>
      </c>
      <c r="D3">
        <v>4.9777777777777796</v>
      </c>
      <c r="E3">
        <v>2.5777777777777802</v>
      </c>
      <c r="F3">
        <v>0.4</v>
      </c>
      <c r="G3">
        <v>0</v>
      </c>
      <c r="H3">
        <v>4.4444444444444502E-2</v>
      </c>
      <c r="I3">
        <v>1.51111111111111</v>
      </c>
      <c r="J3">
        <v>4.4444444444444502E-2</v>
      </c>
      <c r="K3">
        <v>0</v>
      </c>
      <c r="L3">
        <v>2.2666666666666702</v>
      </c>
      <c r="M3">
        <v>2.8888888888888902</v>
      </c>
      <c r="N3">
        <v>0</v>
      </c>
      <c r="O3">
        <v>0.22222222222222199</v>
      </c>
      <c r="P3">
        <v>1.51111111111111</v>
      </c>
      <c r="Q3">
        <v>8.8888888888888906E-2</v>
      </c>
      <c r="R3">
        <v>8.8888888888888906E-2</v>
      </c>
      <c r="S3">
        <v>8.8888888888888906E-2</v>
      </c>
      <c r="T3">
        <v>0</v>
      </c>
      <c r="U3">
        <v>0</v>
      </c>
      <c r="V3">
        <v>20.533333333333299</v>
      </c>
      <c r="W3">
        <v>1.0222222222222199</v>
      </c>
      <c r="X3">
        <v>53.955555555555598</v>
      </c>
      <c r="Y3">
        <v>0.97777777777777797</v>
      </c>
    </row>
    <row r="4" spans="1:36" x14ac:dyDescent="0.25">
      <c r="A4" t="s">
        <v>34</v>
      </c>
      <c r="B4">
        <v>1.86666666666667</v>
      </c>
      <c r="C4">
        <v>0</v>
      </c>
      <c r="D4">
        <v>12.311111111111099</v>
      </c>
      <c r="E4">
        <v>1.24444444444444</v>
      </c>
      <c r="F4">
        <v>0.17777777777777801</v>
      </c>
      <c r="G4">
        <v>0</v>
      </c>
      <c r="H4">
        <v>0</v>
      </c>
      <c r="I4">
        <v>3.7777777777777799</v>
      </c>
      <c r="J4">
        <v>0</v>
      </c>
      <c r="K4">
        <v>0.133333333333333</v>
      </c>
      <c r="L4">
        <v>1.0222222222222199</v>
      </c>
      <c r="M4">
        <v>0.66666666666666696</v>
      </c>
      <c r="N4">
        <v>0</v>
      </c>
      <c r="O4">
        <v>0.31111111111111101</v>
      </c>
      <c r="P4">
        <v>1.2</v>
      </c>
      <c r="Q4">
        <v>8.8888888888888906E-2</v>
      </c>
      <c r="R4">
        <v>2.3555555555555601</v>
      </c>
      <c r="S4">
        <v>0.35555555555555601</v>
      </c>
      <c r="T4">
        <v>0</v>
      </c>
      <c r="U4">
        <v>0</v>
      </c>
      <c r="V4">
        <v>22.088888888888899</v>
      </c>
      <c r="W4">
        <v>3.1111111111111098</v>
      </c>
      <c r="X4">
        <v>47.022222222222197</v>
      </c>
      <c r="Y4">
        <v>2.2666666666666702</v>
      </c>
    </row>
    <row r="5" spans="1:36" x14ac:dyDescent="0.25">
      <c r="A5" t="s">
        <v>35</v>
      </c>
      <c r="B5">
        <v>0.31111111111111101</v>
      </c>
      <c r="C5">
        <v>0</v>
      </c>
      <c r="D5">
        <v>16.711111111111101</v>
      </c>
      <c r="E5">
        <v>2.4888888888888898</v>
      </c>
      <c r="F5">
        <v>0.17777777777777801</v>
      </c>
      <c r="G5">
        <v>0</v>
      </c>
      <c r="H5">
        <v>4.4444444444444502E-2</v>
      </c>
      <c r="I5">
        <v>2.8888888888888902</v>
      </c>
      <c r="J5">
        <v>0</v>
      </c>
      <c r="K5">
        <v>0</v>
      </c>
      <c r="L5">
        <v>0.17777777777777801</v>
      </c>
      <c r="M5">
        <v>0.62222222222222201</v>
      </c>
      <c r="N5">
        <v>0</v>
      </c>
      <c r="O5">
        <v>4.4444444444444502E-2</v>
      </c>
      <c r="P5">
        <v>2.0444444444444398</v>
      </c>
      <c r="Q5">
        <v>0</v>
      </c>
      <c r="R5">
        <v>0.133333333333333</v>
      </c>
      <c r="S5">
        <v>0</v>
      </c>
      <c r="T5">
        <v>0</v>
      </c>
      <c r="U5">
        <v>2.3555555555555601</v>
      </c>
      <c r="V5">
        <v>12.533333333333299</v>
      </c>
      <c r="W5">
        <v>1.2888888888888901</v>
      </c>
      <c r="X5">
        <v>56.177777777777798</v>
      </c>
      <c r="Y5">
        <v>2</v>
      </c>
    </row>
    <row r="6" spans="1:36" x14ac:dyDescent="0.25">
      <c r="A6" t="s">
        <v>36</v>
      </c>
      <c r="B6">
        <v>2.6666666666666701</v>
      </c>
      <c r="C6">
        <v>0</v>
      </c>
      <c r="D6">
        <v>5.8222222222222202</v>
      </c>
      <c r="E6">
        <v>0.44444444444444497</v>
      </c>
      <c r="F6">
        <v>0</v>
      </c>
      <c r="G6">
        <v>0</v>
      </c>
      <c r="H6">
        <v>0.133333333333333</v>
      </c>
      <c r="I6">
        <v>0.75555555555555598</v>
      </c>
      <c r="J6">
        <v>0.133333333333333</v>
      </c>
      <c r="K6">
        <v>0</v>
      </c>
      <c r="L6">
        <v>0.53333333333333299</v>
      </c>
      <c r="M6">
        <v>0.62222222222222201</v>
      </c>
      <c r="N6">
        <v>0</v>
      </c>
      <c r="O6">
        <v>0</v>
      </c>
      <c r="P6">
        <v>2</v>
      </c>
      <c r="Q6">
        <v>0</v>
      </c>
      <c r="R6">
        <v>4.4444444444444502E-2</v>
      </c>
      <c r="S6">
        <v>0.31111111111111101</v>
      </c>
      <c r="T6">
        <v>0</v>
      </c>
      <c r="U6">
        <v>0</v>
      </c>
      <c r="V6">
        <v>19.822222222222202</v>
      </c>
      <c r="W6">
        <v>3.4222222222222198</v>
      </c>
      <c r="X6">
        <v>61.866666666666703</v>
      </c>
      <c r="Y6">
        <v>1.4222222222222201</v>
      </c>
    </row>
    <row r="7" spans="1:36" x14ac:dyDescent="0.25">
      <c r="A7" t="s">
        <v>37</v>
      </c>
      <c r="B7">
        <v>0.8</v>
      </c>
      <c r="C7">
        <v>0</v>
      </c>
      <c r="D7">
        <v>13.5111111111111</v>
      </c>
      <c r="E7">
        <v>0.48888888888888898</v>
      </c>
      <c r="F7">
        <v>0</v>
      </c>
      <c r="G7">
        <v>8.8888888888888906E-2</v>
      </c>
      <c r="H7">
        <v>0.133333333333333</v>
      </c>
      <c r="I7">
        <v>0.844444444444445</v>
      </c>
      <c r="J7">
        <v>8.8888888888888906E-2</v>
      </c>
      <c r="K7">
        <v>0</v>
      </c>
      <c r="L7">
        <v>1.2</v>
      </c>
      <c r="M7">
        <v>0.88888888888888895</v>
      </c>
      <c r="N7">
        <v>0</v>
      </c>
      <c r="O7">
        <v>0</v>
      </c>
      <c r="P7">
        <v>0.66666666666666696</v>
      </c>
      <c r="Q7">
        <v>0</v>
      </c>
      <c r="R7">
        <v>2.6666666666666701</v>
      </c>
      <c r="S7">
        <v>0.22222222222222199</v>
      </c>
      <c r="T7">
        <v>0</v>
      </c>
      <c r="U7">
        <v>0</v>
      </c>
      <c r="V7">
        <v>10.133333333333301</v>
      </c>
      <c r="W7">
        <v>3.37777777777778</v>
      </c>
      <c r="X7">
        <v>60.177777777777798</v>
      </c>
      <c r="Y7">
        <v>4.7111111111111104</v>
      </c>
    </row>
    <row r="8" spans="1:36" x14ac:dyDescent="0.25">
      <c r="A8" t="s">
        <v>38</v>
      </c>
      <c r="B8">
        <v>0</v>
      </c>
      <c r="C8">
        <v>0</v>
      </c>
      <c r="D8">
        <v>0.66666666666666696</v>
      </c>
      <c r="E8">
        <v>8.8888888888888906E-2</v>
      </c>
      <c r="F8">
        <v>0.66666666666666696</v>
      </c>
      <c r="G8">
        <v>0</v>
      </c>
      <c r="H8">
        <v>0</v>
      </c>
      <c r="I8">
        <v>4.4444444444444502E-2</v>
      </c>
      <c r="J8">
        <v>8.8888888888888906E-2</v>
      </c>
      <c r="K8">
        <v>0</v>
      </c>
      <c r="L8">
        <v>1.55555555555556</v>
      </c>
      <c r="M8">
        <v>0.31111111111111101</v>
      </c>
      <c r="N8">
        <v>4.4444444444444502E-2</v>
      </c>
      <c r="O8">
        <v>0.8</v>
      </c>
      <c r="P8">
        <v>2.0888888888888899</v>
      </c>
      <c r="Q8">
        <v>0</v>
      </c>
      <c r="R8">
        <v>5.2888888888888896</v>
      </c>
      <c r="S8">
        <v>2.1777777777777798</v>
      </c>
      <c r="T8">
        <v>0</v>
      </c>
      <c r="U8">
        <v>0</v>
      </c>
      <c r="V8">
        <v>2.62222222222222</v>
      </c>
      <c r="W8">
        <v>1.2888888888888901</v>
      </c>
      <c r="X8">
        <v>74</v>
      </c>
      <c r="Y8">
        <v>8.2666666666666693</v>
      </c>
    </row>
    <row r="9" spans="1:36" x14ac:dyDescent="0.25">
      <c r="A9" t="s">
        <v>39</v>
      </c>
      <c r="B9">
        <v>0</v>
      </c>
      <c r="C9">
        <v>0</v>
      </c>
      <c r="D9">
        <v>0.133333333333333</v>
      </c>
      <c r="E9">
        <v>20.399999999999999</v>
      </c>
      <c r="F9">
        <v>0</v>
      </c>
      <c r="G9">
        <v>0</v>
      </c>
      <c r="H9">
        <v>0</v>
      </c>
      <c r="I9">
        <v>0.17777777777777801</v>
      </c>
      <c r="J9">
        <v>0</v>
      </c>
      <c r="K9">
        <v>4.4444444444444502E-2</v>
      </c>
      <c r="L9">
        <v>1.2</v>
      </c>
      <c r="M9">
        <v>6.8</v>
      </c>
      <c r="N9">
        <v>0</v>
      </c>
      <c r="O9">
        <v>0.57777777777777795</v>
      </c>
      <c r="P9">
        <v>1.06666666666667</v>
      </c>
      <c r="Q9">
        <v>0</v>
      </c>
      <c r="R9">
        <v>0</v>
      </c>
      <c r="S9">
        <v>0.266666666666667</v>
      </c>
      <c r="T9">
        <v>0</v>
      </c>
      <c r="U9">
        <v>0</v>
      </c>
      <c r="V9">
        <v>2.0888888888888899</v>
      </c>
      <c r="W9">
        <v>0.266666666666667</v>
      </c>
      <c r="X9">
        <v>63.422222222222203</v>
      </c>
      <c r="Y9">
        <v>3.5555555555555598</v>
      </c>
    </row>
    <row r="10" spans="1:36" x14ac:dyDescent="0.25">
      <c r="A10" t="s">
        <v>40</v>
      </c>
      <c r="B10">
        <v>0.22222222222222199</v>
      </c>
      <c r="C10">
        <v>0</v>
      </c>
      <c r="D10">
        <v>2.9777777777777801</v>
      </c>
      <c r="E10">
        <v>2.2666666666666702</v>
      </c>
      <c r="F10">
        <v>2.31111111111111</v>
      </c>
      <c r="G10">
        <v>0</v>
      </c>
      <c r="H10">
        <v>0</v>
      </c>
      <c r="I10">
        <v>4.4444444444444502E-2</v>
      </c>
      <c r="J10">
        <v>8.8888888888888906E-2</v>
      </c>
      <c r="K10">
        <v>0</v>
      </c>
      <c r="L10">
        <v>0.71111111111111103</v>
      </c>
      <c r="M10">
        <v>0.66666666666666696</v>
      </c>
      <c r="N10">
        <v>0</v>
      </c>
      <c r="O10">
        <v>8.8888888888888906E-2</v>
      </c>
      <c r="P10">
        <v>1.2</v>
      </c>
      <c r="Q10">
        <v>0</v>
      </c>
      <c r="R10">
        <v>2.75555555555556</v>
      </c>
      <c r="S10">
        <v>16.622222222222199</v>
      </c>
      <c r="T10">
        <v>0</v>
      </c>
      <c r="U10">
        <v>0</v>
      </c>
      <c r="V10">
        <v>1.51111111111111</v>
      </c>
      <c r="W10">
        <v>0.48888888888888898</v>
      </c>
      <c r="X10">
        <v>64.755555555555603</v>
      </c>
      <c r="Y10">
        <v>3.2888888888888901</v>
      </c>
    </row>
    <row r="11" spans="1:36" x14ac:dyDescent="0.25">
      <c r="A11" t="s">
        <v>41</v>
      </c>
      <c r="B11">
        <v>0</v>
      </c>
      <c r="C11">
        <v>0</v>
      </c>
      <c r="D11">
        <v>0</v>
      </c>
      <c r="E11">
        <v>1.56666666666667</v>
      </c>
      <c r="F11">
        <v>0</v>
      </c>
      <c r="G11">
        <v>0.25</v>
      </c>
      <c r="H11">
        <v>0.25833333333333303</v>
      </c>
      <c r="I11">
        <v>0</v>
      </c>
      <c r="J11">
        <v>5.3833333333333302</v>
      </c>
      <c r="K11">
        <v>0.266666666666667</v>
      </c>
      <c r="L11">
        <v>0.266666666666667</v>
      </c>
      <c r="M11">
        <v>1.81666666666667</v>
      </c>
      <c r="N11">
        <v>0</v>
      </c>
      <c r="O11">
        <v>0.133333333333333</v>
      </c>
      <c r="P11">
        <v>2.4666666666666699</v>
      </c>
      <c r="Q11">
        <v>0</v>
      </c>
      <c r="R11">
        <v>0</v>
      </c>
      <c r="S11">
        <v>1.13333333333333</v>
      </c>
      <c r="T11">
        <v>0</v>
      </c>
      <c r="U11">
        <v>0</v>
      </c>
      <c r="V11">
        <v>7.43333333333333</v>
      </c>
      <c r="W11">
        <v>3.9</v>
      </c>
      <c r="X11">
        <v>72.566666666666706</v>
      </c>
      <c r="Y11">
        <v>2.55833333333333</v>
      </c>
    </row>
    <row r="13" spans="1:36" ht="15.6" x14ac:dyDescent="0.3">
      <c r="A13" t="s">
        <v>0</v>
      </c>
      <c r="B13" s="8" t="s">
        <v>79</v>
      </c>
      <c r="C13" s="8" t="s">
        <v>4</v>
      </c>
      <c r="D13" s="8" t="s">
        <v>5</v>
      </c>
      <c r="E13" s="8" t="s">
        <v>6</v>
      </c>
      <c r="F13" s="3" t="s">
        <v>86</v>
      </c>
      <c r="G13" s="5" t="s">
        <v>87</v>
      </c>
      <c r="H13" s="4" t="s">
        <v>78</v>
      </c>
      <c r="I13" s="6" t="s">
        <v>76</v>
      </c>
      <c r="J13" s="7" t="s">
        <v>88</v>
      </c>
      <c r="K13" s="7" t="s">
        <v>9</v>
      </c>
      <c r="L13" s="7" t="s">
        <v>10</v>
      </c>
      <c r="M13" s="2"/>
      <c r="O13" t="s">
        <v>0</v>
      </c>
      <c r="P13" s="8" t="s">
        <v>79</v>
      </c>
      <c r="Q13" s="8" t="s">
        <v>4</v>
      </c>
      <c r="R13" s="8" t="s">
        <v>5</v>
      </c>
      <c r="S13" s="8" t="s">
        <v>6</v>
      </c>
      <c r="T13" s="3" t="s">
        <v>86</v>
      </c>
      <c r="U13" s="5" t="s">
        <v>87</v>
      </c>
      <c r="V13" s="4" t="s">
        <v>78</v>
      </c>
      <c r="W13" s="6" t="s">
        <v>76</v>
      </c>
      <c r="X13" s="7" t="s">
        <v>88</v>
      </c>
      <c r="Y13" s="7" t="s">
        <v>9</v>
      </c>
      <c r="Z13" s="7" t="s">
        <v>10</v>
      </c>
      <c r="AA13" s="2"/>
      <c r="AC13" s="5" t="s">
        <v>0</v>
      </c>
      <c r="AD13" s="5" t="s">
        <v>77</v>
      </c>
      <c r="AE13" s="4" t="s">
        <v>78</v>
      </c>
      <c r="AF13" t="s">
        <v>76</v>
      </c>
      <c r="AG13" t="s">
        <v>87</v>
      </c>
      <c r="AH13" s="5" t="s">
        <v>86</v>
      </c>
      <c r="AI13" s="5" t="s">
        <v>88</v>
      </c>
      <c r="AJ13" t="s">
        <v>9</v>
      </c>
    </row>
    <row r="14" spans="1:36" ht="17.399999999999999" x14ac:dyDescent="0.3">
      <c r="A14" s="11" t="s">
        <v>111</v>
      </c>
      <c r="B14">
        <f t="shared" ref="B14:B23" si="0">SUM(B2:C2)</f>
        <v>0</v>
      </c>
      <c r="C14">
        <v>10.755555555555601</v>
      </c>
      <c r="D14">
        <v>0.133333333333333</v>
      </c>
      <c r="E14">
        <v>0</v>
      </c>
      <c r="F14">
        <f>SUM(L2:O2)</f>
        <v>1.1111111111111112</v>
      </c>
      <c r="G14">
        <v>0</v>
      </c>
      <c r="H14">
        <f>SUM(S2:U2,X2,P2)</f>
        <v>37.866666666666653</v>
      </c>
      <c r="I14">
        <f t="shared" ref="I14:I23" si="1">SUM(Y2,V2:W2)</f>
        <v>46.444444444444429</v>
      </c>
      <c r="J14">
        <f>SUM(G2:H2,Q2,K2)</f>
        <v>0.79999999999999993</v>
      </c>
      <c r="K14">
        <v>2.6666666666666701</v>
      </c>
      <c r="L14">
        <v>0.22222222222222199</v>
      </c>
      <c r="O14" t="s">
        <v>104</v>
      </c>
      <c r="P14">
        <f t="shared" ref="P14:Z14" si="2">AVERAGE(B14:B19)</f>
        <v>2.0740740740740753</v>
      </c>
      <c r="Q14">
        <f t="shared" si="2"/>
        <v>10.681481481481484</v>
      </c>
      <c r="R14">
        <f t="shared" si="2"/>
        <v>1.2296296296296294</v>
      </c>
      <c r="S14">
        <f t="shared" si="2"/>
        <v>0.12592592592592602</v>
      </c>
      <c r="T14">
        <f t="shared" si="2"/>
        <v>2.096296296296297</v>
      </c>
      <c r="U14">
        <f t="shared" si="2"/>
        <v>0.88148148148148275</v>
      </c>
      <c r="V14">
        <f t="shared" si="2"/>
        <v>54.63703703703704</v>
      </c>
      <c r="W14">
        <f t="shared" si="2"/>
        <v>25.859259259259243</v>
      </c>
      <c r="X14">
        <f t="shared" si="2"/>
        <v>0.25925925925925913</v>
      </c>
      <c r="Y14">
        <f t="shared" si="2"/>
        <v>2.0740740740740748</v>
      </c>
      <c r="Z14">
        <f t="shared" si="2"/>
        <v>8.1481481481481391E-2</v>
      </c>
      <c r="AC14" s="5" t="s">
        <v>104</v>
      </c>
      <c r="AD14" s="5">
        <f>SUM(P14:S14,Z14)</f>
        <v>14.192592592592597</v>
      </c>
      <c r="AE14" s="5">
        <v>54.63703703703704</v>
      </c>
      <c r="AF14">
        <v>25.859259259259243</v>
      </c>
      <c r="AG14">
        <v>0.88148148148148275</v>
      </c>
      <c r="AH14" s="5">
        <v>2.096296296296297</v>
      </c>
      <c r="AI14" s="5">
        <f>SUM(X14)</f>
        <v>0.25925925925925913</v>
      </c>
      <c r="AJ14">
        <v>2.0740740740740748</v>
      </c>
    </row>
    <row r="15" spans="1:36" ht="17.399999999999999" x14ac:dyDescent="0.3">
      <c r="A15" s="11" t="s">
        <v>112</v>
      </c>
      <c r="B15">
        <f t="shared" si="0"/>
        <v>6.8</v>
      </c>
      <c r="C15">
        <v>4.9777777777777796</v>
      </c>
      <c r="D15">
        <v>2.5777777777777802</v>
      </c>
      <c r="E15">
        <v>0.4</v>
      </c>
      <c r="F15">
        <f t="shared" ref="F15:F23" si="3">SUM(L3:O3)</f>
        <v>5.3777777777777827</v>
      </c>
      <c r="G15">
        <v>8.8888888888888906E-2</v>
      </c>
      <c r="H15">
        <f t="shared" ref="H15:H23" si="4">SUM(S3:U3,X3,P3)</f>
        <v>55.5555555555556</v>
      </c>
      <c r="I15">
        <f t="shared" si="1"/>
        <v>22.533333333333296</v>
      </c>
      <c r="J15">
        <f t="shared" ref="J15:J23" si="5">SUM(G3:H3,Q3,K3)</f>
        <v>0.13333333333333341</v>
      </c>
      <c r="K15">
        <v>1.51111111111111</v>
      </c>
      <c r="L15">
        <v>4.4444444444444502E-2</v>
      </c>
      <c r="O15" t="s">
        <v>105</v>
      </c>
      <c r="P15">
        <f t="shared" ref="P15:Z15" si="6">AVERAGE(B20:B23)</f>
        <v>5.5555555555555497E-2</v>
      </c>
      <c r="Q15">
        <f t="shared" si="6"/>
        <v>0.94444444444444497</v>
      </c>
      <c r="R15">
        <f t="shared" si="6"/>
        <v>6.0805555555555566</v>
      </c>
      <c r="S15">
        <f t="shared" si="6"/>
        <v>0.74444444444444424</v>
      </c>
      <c r="T15">
        <f t="shared" si="6"/>
        <v>3.7430555555555576</v>
      </c>
      <c r="U15">
        <f t="shared" si="6"/>
        <v>2.0111111111111124</v>
      </c>
      <c r="V15">
        <f t="shared" si="6"/>
        <v>75.441666666666663</v>
      </c>
      <c r="W15">
        <f t="shared" si="6"/>
        <v>9.3173611111111114</v>
      </c>
      <c r="X15">
        <f t="shared" si="6"/>
        <v>0.20486111111111116</v>
      </c>
      <c r="Y15">
        <f t="shared" si="6"/>
        <v>6.6666666666666749E-2</v>
      </c>
      <c r="Z15">
        <f t="shared" si="6"/>
        <v>1.3902777777777771</v>
      </c>
      <c r="AC15" s="5" t="s">
        <v>105</v>
      </c>
      <c r="AD15" s="5">
        <f>SUM(P15:S15,Z15)</f>
        <v>9.2152777777777786</v>
      </c>
      <c r="AE15" s="5">
        <v>75.441666666666663</v>
      </c>
      <c r="AF15">
        <v>9.3173611111111114</v>
      </c>
      <c r="AG15">
        <v>2.0111111111111124</v>
      </c>
      <c r="AH15" s="5">
        <v>3.7430555555555576</v>
      </c>
      <c r="AI15" s="5">
        <f>SUM(X15)</f>
        <v>0.20486111111111116</v>
      </c>
      <c r="AJ15">
        <v>6.6666666666666749E-2</v>
      </c>
    </row>
    <row r="16" spans="1:36" ht="17.399999999999999" x14ac:dyDescent="0.3">
      <c r="A16" s="11" t="s">
        <v>113</v>
      </c>
      <c r="B16">
        <f t="shared" si="0"/>
        <v>1.86666666666667</v>
      </c>
      <c r="C16">
        <v>12.311111111111099</v>
      </c>
      <c r="D16">
        <v>1.24444444444444</v>
      </c>
      <c r="E16">
        <v>0.17777777777777801</v>
      </c>
      <c r="F16">
        <f t="shared" si="3"/>
        <v>1.9999999999999978</v>
      </c>
      <c r="G16">
        <v>2.3555555555555601</v>
      </c>
      <c r="H16">
        <f t="shared" si="4"/>
        <v>48.577777777777754</v>
      </c>
      <c r="I16">
        <f t="shared" si="1"/>
        <v>27.466666666666679</v>
      </c>
      <c r="J16">
        <f t="shared" si="5"/>
        <v>0.2222222222222219</v>
      </c>
      <c r="K16">
        <v>3.7777777777777799</v>
      </c>
      <c r="L16">
        <v>0</v>
      </c>
    </row>
    <row r="17" spans="1:35" ht="17.399999999999999" x14ac:dyDescent="0.3">
      <c r="A17" s="11" t="s">
        <v>109</v>
      </c>
      <c r="B17">
        <f t="shared" si="0"/>
        <v>0.31111111111111101</v>
      </c>
      <c r="C17">
        <v>16.711111111111101</v>
      </c>
      <c r="D17">
        <v>2.4888888888888898</v>
      </c>
      <c r="E17">
        <v>0.17777777777777801</v>
      </c>
      <c r="F17">
        <f t="shared" si="3"/>
        <v>0.84444444444444455</v>
      </c>
      <c r="G17">
        <v>0.133333333333333</v>
      </c>
      <c r="H17">
        <f t="shared" si="4"/>
        <v>60.577777777777797</v>
      </c>
      <c r="I17">
        <f t="shared" si="1"/>
        <v>15.822222222222189</v>
      </c>
      <c r="J17">
        <f t="shared" si="5"/>
        <v>4.4444444444444502E-2</v>
      </c>
      <c r="K17">
        <v>2.8888888888888902</v>
      </c>
      <c r="L17">
        <v>0</v>
      </c>
    </row>
    <row r="18" spans="1:35" ht="17.399999999999999" x14ac:dyDescent="0.3">
      <c r="A18" s="11" t="s">
        <v>114</v>
      </c>
      <c r="B18">
        <f t="shared" si="0"/>
        <v>2.6666666666666701</v>
      </c>
      <c r="C18">
        <v>5.8222222222222202</v>
      </c>
      <c r="D18">
        <v>0.44444444444444497</v>
      </c>
      <c r="E18">
        <v>0</v>
      </c>
      <c r="F18">
        <f t="shared" si="3"/>
        <v>1.155555555555555</v>
      </c>
      <c r="G18">
        <v>4.4444444444444502E-2</v>
      </c>
      <c r="H18">
        <f t="shared" si="4"/>
        <v>64.177777777777806</v>
      </c>
      <c r="I18">
        <f t="shared" si="1"/>
        <v>24.666666666666643</v>
      </c>
      <c r="J18">
        <f t="shared" si="5"/>
        <v>0.133333333333333</v>
      </c>
      <c r="K18">
        <v>0.75555555555555598</v>
      </c>
      <c r="L18">
        <v>0.133333333333333</v>
      </c>
    </row>
    <row r="19" spans="1:35" ht="17.399999999999999" x14ac:dyDescent="0.3">
      <c r="A19" s="11" t="s">
        <v>110</v>
      </c>
      <c r="B19">
        <f t="shared" si="0"/>
        <v>0.8</v>
      </c>
      <c r="C19">
        <v>13.5111111111111</v>
      </c>
      <c r="D19">
        <v>0.48888888888888898</v>
      </c>
      <c r="E19">
        <v>0</v>
      </c>
      <c r="F19">
        <f t="shared" si="3"/>
        <v>2.088888888888889</v>
      </c>
      <c r="G19">
        <v>2.6666666666666701</v>
      </c>
      <c r="H19">
        <f t="shared" si="4"/>
        <v>61.066666666666684</v>
      </c>
      <c r="I19">
        <f t="shared" si="1"/>
        <v>18.222222222222193</v>
      </c>
      <c r="J19">
        <f t="shared" si="5"/>
        <v>0.2222222222222219</v>
      </c>
      <c r="K19">
        <v>0.844444444444445</v>
      </c>
      <c r="L19">
        <v>8.8888888888888906E-2</v>
      </c>
    </row>
    <row r="20" spans="1:35" ht="17.399999999999999" x14ac:dyDescent="0.3">
      <c r="A20" s="11" t="s">
        <v>106</v>
      </c>
      <c r="B20">
        <f t="shared" si="0"/>
        <v>0</v>
      </c>
      <c r="C20">
        <v>0.66666666666666696</v>
      </c>
      <c r="D20">
        <v>8.8888888888888906E-2</v>
      </c>
      <c r="E20">
        <v>0.66666666666666696</v>
      </c>
      <c r="F20">
        <f t="shared" si="3"/>
        <v>2.7111111111111157</v>
      </c>
      <c r="G20">
        <v>5.2888888888888896</v>
      </c>
      <c r="H20">
        <f t="shared" si="4"/>
        <v>78.266666666666666</v>
      </c>
      <c r="I20">
        <f t="shared" si="1"/>
        <v>12.177777777777779</v>
      </c>
      <c r="J20">
        <f t="shared" si="5"/>
        <v>0</v>
      </c>
      <c r="K20">
        <v>4.4444444444444502E-2</v>
      </c>
      <c r="L20">
        <v>8.8888888888888906E-2</v>
      </c>
    </row>
    <row r="21" spans="1:35" ht="17.399999999999999" x14ac:dyDescent="0.3">
      <c r="A21" s="11" t="s">
        <v>107</v>
      </c>
      <c r="B21">
        <f t="shared" si="0"/>
        <v>0</v>
      </c>
      <c r="C21">
        <v>0.133333333333333</v>
      </c>
      <c r="D21">
        <v>20.399999999999999</v>
      </c>
      <c r="E21">
        <v>0</v>
      </c>
      <c r="F21">
        <f t="shared" si="3"/>
        <v>8.5777777777777775</v>
      </c>
      <c r="G21">
        <v>0</v>
      </c>
      <c r="H21">
        <f t="shared" si="4"/>
        <v>64.755555555555532</v>
      </c>
      <c r="I21">
        <f t="shared" si="1"/>
        <v>5.9111111111111159</v>
      </c>
      <c r="J21">
        <f t="shared" si="5"/>
        <v>4.4444444444444502E-2</v>
      </c>
      <c r="K21">
        <v>0.17777777777777801</v>
      </c>
      <c r="L21">
        <v>0</v>
      </c>
    </row>
    <row r="22" spans="1:35" ht="17.399999999999999" x14ac:dyDescent="0.3">
      <c r="A22" s="11" t="s">
        <v>108</v>
      </c>
      <c r="B22">
        <f t="shared" si="0"/>
        <v>0.22222222222222199</v>
      </c>
      <c r="C22">
        <v>2.9777777777777801</v>
      </c>
      <c r="D22">
        <v>2.2666666666666702</v>
      </c>
      <c r="E22">
        <v>2.31111111111111</v>
      </c>
      <c r="F22">
        <f t="shared" si="3"/>
        <v>1.4666666666666668</v>
      </c>
      <c r="G22">
        <v>2.75555555555556</v>
      </c>
      <c r="H22">
        <f t="shared" si="4"/>
        <v>82.577777777777797</v>
      </c>
      <c r="I22">
        <f t="shared" si="1"/>
        <v>5.2888888888888888</v>
      </c>
      <c r="J22">
        <f t="shared" si="5"/>
        <v>0</v>
      </c>
      <c r="K22">
        <v>4.4444444444444502E-2</v>
      </c>
      <c r="L22">
        <v>8.8888888888888906E-2</v>
      </c>
    </row>
    <row r="23" spans="1:35" ht="17.399999999999999" x14ac:dyDescent="0.3">
      <c r="A23" s="11" t="s">
        <v>115</v>
      </c>
      <c r="B23">
        <f t="shared" si="0"/>
        <v>0</v>
      </c>
      <c r="C23">
        <v>0</v>
      </c>
      <c r="D23">
        <v>1.56666666666667</v>
      </c>
      <c r="E23">
        <v>0</v>
      </c>
      <c r="F23">
        <f t="shared" si="3"/>
        <v>2.2166666666666699</v>
      </c>
      <c r="G23">
        <v>0</v>
      </c>
      <c r="H23">
        <f t="shared" si="4"/>
        <v>76.1666666666667</v>
      </c>
      <c r="I23">
        <f t="shared" si="1"/>
        <v>13.89166666666666</v>
      </c>
      <c r="J23">
        <f t="shared" si="5"/>
        <v>0.77500000000000013</v>
      </c>
      <c r="K23">
        <v>0</v>
      </c>
      <c r="L23">
        <v>5.3833333333333302</v>
      </c>
    </row>
    <row r="24" spans="1:35" x14ac:dyDescent="0.25">
      <c r="AF24" t="s">
        <v>90</v>
      </c>
      <c r="AG24" t="s">
        <v>91</v>
      </c>
      <c r="AH24" t="s">
        <v>92</v>
      </c>
      <c r="AI24" t="s">
        <v>93</v>
      </c>
    </row>
    <row r="25" spans="1:35" x14ac:dyDescent="0.25">
      <c r="AF25" t="s">
        <v>94</v>
      </c>
      <c r="AG25">
        <v>9.8722200000000004</v>
      </c>
      <c r="AH25">
        <v>-85.531543999999997</v>
      </c>
      <c r="AI25">
        <v>5</v>
      </c>
    </row>
    <row r="26" spans="1:35" x14ac:dyDescent="0.25">
      <c r="AF26" t="s">
        <v>95</v>
      </c>
      <c r="AG26">
        <v>9.8646840000000005</v>
      </c>
      <c r="AH26">
        <v>-85.512659999999997</v>
      </c>
      <c r="AI26">
        <v>5</v>
      </c>
    </row>
    <row r="27" spans="1:35" x14ac:dyDescent="0.25">
      <c r="AF27" t="s">
        <v>96</v>
      </c>
      <c r="AG27">
        <v>9.8648109999999996</v>
      </c>
      <c r="AH27">
        <v>-85.496651999999997</v>
      </c>
      <c r="AI27">
        <v>5</v>
      </c>
    </row>
    <row r="28" spans="1:35" x14ac:dyDescent="0.25">
      <c r="AF28" t="s">
        <v>97</v>
      </c>
      <c r="AG28">
        <v>9.8722200000000004</v>
      </c>
      <c r="AH28">
        <v>-85.531543999999997</v>
      </c>
      <c r="AI28">
        <v>15</v>
      </c>
    </row>
    <row r="29" spans="1:35" x14ac:dyDescent="0.25">
      <c r="AF29" t="s">
        <v>98</v>
      </c>
      <c r="AG29">
        <v>10.608739</v>
      </c>
      <c r="AH29">
        <v>-85.703523000000004</v>
      </c>
      <c r="AI29">
        <v>10</v>
      </c>
    </row>
    <row r="30" spans="1:35" x14ac:dyDescent="0.25">
      <c r="AF30" t="s">
        <v>99</v>
      </c>
      <c r="AG30">
        <v>10.578611110000001</v>
      </c>
      <c r="AH30">
        <v>-85.712222220000001</v>
      </c>
      <c r="AI30">
        <v>10</v>
      </c>
    </row>
    <row r="31" spans="1:35" x14ac:dyDescent="0.25">
      <c r="AF31" t="s">
        <v>100</v>
      </c>
      <c r="AG31">
        <v>10.641942999999999</v>
      </c>
      <c r="AH31">
        <v>-85.696241999999998</v>
      </c>
      <c r="AI31">
        <v>10</v>
      </c>
    </row>
    <row r="32" spans="1:35" x14ac:dyDescent="0.25">
      <c r="AF32" t="s">
        <v>101</v>
      </c>
      <c r="AG32">
        <v>10.654966</v>
      </c>
      <c r="AH32">
        <v>-85.672522000000001</v>
      </c>
      <c r="AI32">
        <v>5</v>
      </c>
    </row>
    <row r="33" spans="32:35" x14ac:dyDescent="0.25">
      <c r="AF33" t="s">
        <v>102</v>
      </c>
      <c r="AG33">
        <v>10.538276</v>
      </c>
      <c r="AH33">
        <v>-85.785373000000007</v>
      </c>
      <c r="AI33">
        <v>10</v>
      </c>
    </row>
    <row r="34" spans="32:35" x14ac:dyDescent="0.25">
      <c r="AF34" t="s">
        <v>103</v>
      </c>
      <c r="AG34">
        <v>10.543297000000001</v>
      </c>
      <c r="AH34">
        <v>-85.774546000000001</v>
      </c>
      <c r="AI34">
        <v>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DCFD-3F6F-4EA3-8703-4AEDC15893A5}">
  <dimension ref="A2:L45"/>
  <sheetViews>
    <sheetView topLeftCell="A16" workbookViewId="0">
      <selection activeCell="I36" sqref="I36"/>
    </sheetView>
  </sheetViews>
  <sheetFormatPr defaultRowHeight="13.8" x14ac:dyDescent="0.25"/>
  <cols>
    <col min="1" max="1" width="15.09765625" bestFit="1" customWidth="1"/>
    <col min="2" max="2" width="11.8984375" bestFit="1" customWidth="1"/>
    <col min="3" max="3" width="15.296875" bestFit="1" customWidth="1"/>
    <col min="4" max="4" width="11.8984375" bestFit="1" customWidth="1"/>
    <col min="6" max="12" width="11.8984375" bestFit="1" customWidth="1"/>
  </cols>
  <sheetData>
    <row r="2" spans="1:12" x14ac:dyDescent="0.25">
      <c r="A2" t="s">
        <v>0</v>
      </c>
      <c r="B2" t="s">
        <v>79</v>
      </c>
      <c r="C2" t="s">
        <v>4</v>
      </c>
      <c r="D2" t="s">
        <v>5</v>
      </c>
      <c r="E2" t="s">
        <v>6</v>
      </c>
      <c r="F2" t="s">
        <v>86</v>
      </c>
      <c r="G2" t="s">
        <v>87</v>
      </c>
      <c r="H2" t="s">
        <v>78</v>
      </c>
      <c r="I2" t="s">
        <v>76</v>
      </c>
      <c r="J2" t="s">
        <v>88</v>
      </c>
      <c r="K2" t="s">
        <v>9</v>
      </c>
      <c r="L2" t="s">
        <v>10</v>
      </c>
    </row>
    <row r="3" spans="1:12" x14ac:dyDescent="0.25">
      <c r="A3" t="s">
        <v>111</v>
      </c>
      <c r="B3">
        <v>0</v>
      </c>
      <c r="C3">
        <v>10.755555555555601</v>
      </c>
      <c r="D3">
        <v>0.133333333333333</v>
      </c>
      <c r="E3">
        <v>0</v>
      </c>
      <c r="F3">
        <v>1.1111111111111112</v>
      </c>
      <c r="G3">
        <v>0</v>
      </c>
      <c r="H3">
        <v>37.866666666666653</v>
      </c>
      <c r="I3">
        <v>46.444444444444429</v>
      </c>
      <c r="J3">
        <v>0.79999999999999993</v>
      </c>
      <c r="K3">
        <v>2.6666666666666701</v>
      </c>
      <c r="L3">
        <v>0.22222222222222199</v>
      </c>
    </row>
    <row r="4" spans="1:12" x14ac:dyDescent="0.25">
      <c r="A4" t="s">
        <v>112</v>
      </c>
      <c r="B4">
        <v>6.8</v>
      </c>
      <c r="C4">
        <v>4.9777777777777796</v>
      </c>
      <c r="D4">
        <v>2.5777777777777802</v>
      </c>
      <c r="E4">
        <v>0.4</v>
      </c>
      <c r="F4">
        <v>5.3777777777777827</v>
      </c>
      <c r="G4">
        <v>8.8888888888888906E-2</v>
      </c>
      <c r="H4">
        <v>55.5555555555556</v>
      </c>
      <c r="I4">
        <v>22.533333333333296</v>
      </c>
      <c r="J4">
        <v>0.13333333333333341</v>
      </c>
      <c r="K4">
        <v>1.51111111111111</v>
      </c>
      <c r="L4">
        <v>4.4444444444444502E-2</v>
      </c>
    </row>
    <row r="5" spans="1:12" x14ac:dyDescent="0.25">
      <c r="A5" t="s">
        <v>113</v>
      </c>
      <c r="B5">
        <v>1.86666666666667</v>
      </c>
      <c r="C5">
        <v>12.311111111111099</v>
      </c>
      <c r="D5">
        <v>1.24444444444444</v>
      </c>
      <c r="E5">
        <v>0.17777777777777801</v>
      </c>
      <c r="F5">
        <v>1.9999999999999978</v>
      </c>
      <c r="G5">
        <v>2.3555555555555601</v>
      </c>
      <c r="H5">
        <v>48.577777777777754</v>
      </c>
      <c r="I5">
        <v>27.466666666666679</v>
      </c>
      <c r="J5">
        <v>0.2222222222222219</v>
      </c>
      <c r="K5">
        <v>3.7777777777777799</v>
      </c>
      <c r="L5">
        <v>0</v>
      </c>
    </row>
    <row r="6" spans="1:12" x14ac:dyDescent="0.25">
      <c r="A6" t="s">
        <v>109</v>
      </c>
      <c r="B6">
        <v>0.31111111111111101</v>
      </c>
      <c r="C6">
        <v>16.711111111111101</v>
      </c>
      <c r="D6">
        <v>2.4888888888888898</v>
      </c>
      <c r="E6">
        <v>0.17777777777777801</v>
      </c>
      <c r="F6">
        <v>0.84444444444444455</v>
      </c>
      <c r="G6">
        <v>0.133333333333333</v>
      </c>
      <c r="H6">
        <v>60.577777777777797</v>
      </c>
      <c r="I6">
        <v>15.822222222222189</v>
      </c>
      <c r="J6">
        <v>4.4444444444444502E-2</v>
      </c>
      <c r="K6">
        <v>2.8888888888888902</v>
      </c>
      <c r="L6">
        <v>0</v>
      </c>
    </row>
    <row r="7" spans="1:12" x14ac:dyDescent="0.25">
      <c r="A7" t="s">
        <v>114</v>
      </c>
      <c r="B7">
        <v>2.6666666666666701</v>
      </c>
      <c r="C7">
        <v>5.8222222222222202</v>
      </c>
      <c r="D7">
        <v>0.44444444444444497</v>
      </c>
      <c r="E7">
        <v>0</v>
      </c>
      <c r="F7">
        <v>1.155555555555555</v>
      </c>
      <c r="G7">
        <v>4.4444444444444502E-2</v>
      </c>
      <c r="H7">
        <v>64.177777777777806</v>
      </c>
      <c r="I7">
        <v>24.666666666666643</v>
      </c>
      <c r="J7">
        <v>0.133333333333333</v>
      </c>
      <c r="K7">
        <v>0.75555555555555598</v>
      </c>
      <c r="L7">
        <v>0.133333333333333</v>
      </c>
    </row>
    <row r="8" spans="1:12" x14ac:dyDescent="0.25">
      <c r="A8" t="s">
        <v>110</v>
      </c>
      <c r="B8">
        <v>0.8</v>
      </c>
      <c r="C8">
        <v>13.5111111111111</v>
      </c>
      <c r="D8">
        <v>0.48888888888888898</v>
      </c>
      <c r="E8">
        <v>0</v>
      </c>
      <c r="F8">
        <v>2.088888888888889</v>
      </c>
      <c r="G8">
        <v>2.6666666666666701</v>
      </c>
      <c r="H8">
        <v>61.066666666666684</v>
      </c>
      <c r="I8">
        <v>18.222222222222193</v>
      </c>
      <c r="J8">
        <v>0.2222222222222219</v>
      </c>
      <c r="K8">
        <v>0.844444444444445</v>
      </c>
      <c r="L8">
        <v>8.8888888888888906E-2</v>
      </c>
    </row>
    <row r="9" spans="1:12" x14ac:dyDescent="0.25">
      <c r="A9" t="s">
        <v>106</v>
      </c>
      <c r="B9">
        <v>0</v>
      </c>
      <c r="C9">
        <v>0.66666666666666696</v>
      </c>
      <c r="D9">
        <v>8.8888888888888906E-2</v>
      </c>
      <c r="E9">
        <v>0.66666666666666696</v>
      </c>
      <c r="F9">
        <v>2.7111111111111157</v>
      </c>
      <c r="G9">
        <v>5.2888888888888896</v>
      </c>
      <c r="H9">
        <v>78.266666666666666</v>
      </c>
      <c r="I9">
        <v>12.177777777777779</v>
      </c>
      <c r="J9">
        <v>0</v>
      </c>
      <c r="K9">
        <v>4.4444444444444502E-2</v>
      </c>
      <c r="L9">
        <v>8.8888888888888906E-2</v>
      </c>
    </row>
    <row r="10" spans="1:12" x14ac:dyDescent="0.25">
      <c r="A10" t="s">
        <v>107</v>
      </c>
      <c r="B10">
        <v>0</v>
      </c>
      <c r="C10">
        <v>0.133333333333333</v>
      </c>
      <c r="D10">
        <v>20.399999999999999</v>
      </c>
      <c r="E10">
        <v>0</v>
      </c>
      <c r="F10">
        <v>8.5777777777777775</v>
      </c>
      <c r="G10">
        <v>0</v>
      </c>
      <c r="H10">
        <v>64.755555555555532</v>
      </c>
      <c r="I10">
        <v>5.9111111111111159</v>
      </c>
      <c r="J10">
        <v>4.4444444444444502E-2</v>
      </c>
      <c r="K10">
        <v>0.17777777777777801</v>
      </c>
      <c r="L10">
        <v>0</v>
      </c>
    </row>
    <row r="11" spans="1:12" x14ac:dyDescent="0.25">
      <c r="A11" t="s">
        <v>108</v>
      </c>
      <c r="B11">
        <v>0.22222222222222199</v>
      </c>
      <c r="C11">
        <v>2.9777777777777801</v>
      </c>
      <c r="D11">
        <v>2.2666666666666702</v>
      </c>
      <c r="E11">
        <v>2.31111111111111</v>
      </c>
      <c r="F11">
        <v>1.4666666666666668</v>
      </c>
      <c r="G11">
        <v>2.75555555555556</v>
      </c>
      <c r="H11">
        <v>82.577777777777797</v>
      </c>
      <c r="I11">
        <v>5.2888888888888888</v>
      </c>
      <c r="J11">
        <v>0</v>
      </c>
      <c r="K11">
        <v>4.4444444444444502E-2</v>
      </c>
      <c r="L11">
        <v>8.8888888888888906E-2</v>
      </c>
    </row>
    <row r="12" spans="1:12" x14ac:dyDescent="0.25">
      <c r="A12" t="s">
        <v>115</v>
      </c>
      <c r="B12">
        <v>0</v>
      </c>
      <c r="C12">
        <v>0</v>
      </c>
      <c r="D12">
        <v>1.56666666666667</v>
      </c>
      <c r="E12">
        <v>0</v>
      </c>
      <c r="F12">
        <v>2.2166666666666699</v>
      </c>
      <c r="G12">
        <v>0</v>
      </c>
      <c r="H12">
        <v>76.1666666666667</v>
      </c>
      <c r="I12">
        <v>13.89166666666666</v>
      </c>
      <c r="J12">
        <v>0.77500000000000013</v>
      </c>
      <c r="K12">
        <v>0</v>
      </c>
      <c r="L12">
        <v>5.3833333333333302</v>
      </c>
    </row>
    <row r="14" spans="1:12" x14ac:dyDescent="0.25">
      <c r="A14" s="14" t="s">
        <v>131</v>
      </c>
    </row>
    <row r="15" spans="1:12" x14ac:dyDescent="0.25">
      <c r="A15" s="13" t="s">
        <v>116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x14ac:dyDescent="0.25">
      <c r="A16" s="13" t="s">
        <v>117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x14ac:dyDescent="0.25">
      <c r="A17" s="13" t="s">
        <v>118</v>
      </c>
      <c r="B17" s="12">
        <v>0.82779999999999998</v>
      </c>
      <c r="C17" s="12">
        <v>0.9385</v>
      </c>
      <c r="D17" s="12">
        <v>0.84809999999999997</v>
      </c>
      <c r="E17" s="12">
        <v>0.81359999999999999</v>
      </c>
      <c r="F17" s="12">
        <v>0.75019999999999998</v>
      </c>
      <c r="G17" s="12">
        <v>0.69830000000000003</v>
      </c>
      <c r="H17" s="12">
        <v>0.89500000000000002</v>
      </c>
      <c r="I17" s="12">
        <v>0.84470000000000001</v>
      </c>
      <c r="J17" s="12">
        <v>0.72099999999999997</v>
      </c>
      <c r="K17" s="12">
        <v>0.91639999999999999</v>
      </c>
      <c r="L17" s="12">
        <v>0.91239999999999999</v>
      </c>
    </row>
    <row r="18" spans="1:12" x14ac:dyDescent="0.25">
      <c r="A18" s="13" t="s">
        <v>119</v>
      </c>
      <c r="B18" s="12">
        <v>0.10290000000000001</v>
      </c>
      <c r="C18" s="12">
        <v>0.64700000000000002</v>
      </c>
      <c r="D18" s="12">
        <v>0.152</v>
      </c>
      <c r="E18" s="12">
        <v>7.7499999999999999E-2</v>
      </c>
      <c r="F18" s="12">
        <v>0.02</v>
      </c>
      <c r="G18" s="12">
        <v>5.8999999999999999E-3</v>
      </c>
      <c r="H18" s="12">
        <v>0.34539999999999998</v>
      </c>
      <c r="I18" s="12">
        <v>0.1424</v>
      </c>
      <c r="J18" s="12">
        <v>1.0200000000000001E-2</v>
      </c>
      <c r="K18" s="12">
        <v>0.48010000000000003</v>
      </c>
      <c r="L18" s="12">
        <v>0.45219999999999999</v>
      </c>
    </row>
    <row r="19" spans="1:12" x14ac:dyDescent="0.25">
      <c r="A19" s="13" t="s">
        <v>120</v>
      </c>
      <c r="B19" s="18" t="s">
        <v>121</v>
      </c>
      <c r="C19" s="18" t="s">
        <v>121</v>
      </c>
      <c r="D19" s="18" t="s">
        <v>121</v>
      </c>
      <c r="E19" s="18" t="s">
        <v>121</v>
      </c>
      <c r="F19" s="19" t="s">
        <v>122</v>
      </c>
      <c r="G19" s="19" t="s">
        <v>122</v>
      </c>
      <c r="H19" s="18" t="s">
        <v>121</v>
      </c>
      <c r="I19" s="18" t="s">
        <v>121</v>
      </c>
      <c r="J19" s="18" t="s">
        <v>122</v>
      </c>
      <c r="K19" s="18" t="s">
        <v>121</v>
      </c>
      <c r="L19" s="18" t="s">
        <v>121</v>
      </c>
    </row>
    <row r="20" spans="1:12" x14ac:dyDescent="0.25">
      <c r="A20" s="13" t="s">
        <v>123</v>
      </c>
      <c r="B20" s="12" t="s">
        <v>124</v>
      </c>
      <c r="C20" s="12" t="s">
        <v>124</v>
      </c>
      <c r="D20" s="12" t="s">
        <v>124</v>
      </c>
      <c r="E20" s="12" t="s">
        <v>124</v>
      </c>
      <c r="F20" s="12" t="s">
        <v>125</v>
      </c>
      <c r="G20" s="12" t="s">
        <v>126</v>
      </c>
      <c r="H20" s="12" t="s">
        <v>124</v>
      </c>
      <c r="I20" s="12" t="s">
        <v>124</v>
      </c>
      <c r="J20" s="12" t="s">
        <v>125</v>
      </c>
      <c r="K20" s="12" t="s">
        <v>124</v>
      </c>
      <c r="L20" s="12" t="s">
        <v>124</v>
      </c>
    </row>
    <row r="21" spans="1:12" x14ac:dyDescent="0.25">
      <c r="A21" s="1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5">
      <c r="A22" s="13" t="s">
        <v>127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A23" s="13" t="s">
        <v>128</v>
      </c>
      <c r="B23" s="12">
        <v>0.2404</v>
      </c>
      <c r="C23" s="12">
        <v>0.191</v>
      </c>
      <c r="D23" s="12">
        <v>0.25480000000000003</v>
      </c>
      <c r="E23" s="12">
        <v>0.2843</v>
      </c>
      <c r="F23" s="12">
        <v>0.33510000000000001</v>
      </c>
      <c r="G23" s="12">
        <v>0.38919999999999999</v>
      </c>
      <c r="H23" s="12">
        <v>0.22650000000000001</v>
      </c>
      <c r="I23" s="12">
        <v>0.27489999999999998</v>
      </c>
      <c r="J23" s="12">
        <v>0.38729999999999998</v>
      </c>
      <c r="K23" s="12">
        <v>0.18590000000000001</v>
      </c>
      <c r="L23" s="12">
        <v>0.1724</v>
      </c>
    </row>
    <row r="24" spans="1:12" x14ac:dyDescent="0.25">
      <c r="A24" s="13" t="s">
        <v>119</v>
      </c>
      <c r="B24" s="12" t="s">
        <v>129</v>
      </c>
      <c r="C24" s="12" t="s">
        <v>129</v>
      </c>
      <c r="D24" s="12" t="s">
        <v>129</v>
      </c>
      <c r="E24" s="12" t="s">
        <v>129</v>
      </c>
      <c r="F24" s="12">
        <v>3.39E-2</v>
      </c>
      <c r="G24" s="12">
        <v>4.8999999999999998E-3</v>
      </c>
      <c r="H24" s="12" t="s">
        <v>129</v>
      </c>
      <c r="I24" s="12" t="s">
        <v>129</v>
      </c>
      <c r="J24" s="12">
        <v>5.3E-3</v>
      </c>
      <c r="K24" s="12" t="s">
        <v>129</v>
      </c>
      <c r="L24" s="12" t="s">
        <v>129</v>
      </c>
    </row>
    <row r="25" spans="1:12" x14ac:dyDescent="0.25">
      <c r="A25" s="13" t="s">
        <v>120</v>
      </c>
      <c r="B25" s="18" t="s">
        <v>121</v>
      </c>
      <c r="C25" s="18" t="s">
        <v>121</v>
      </c>
      <c r="D25" s="18" t="s">
        <v>121</v>
      </c>
      <c r="E25" s="18" t="s">
        <v>121</v>
      </c>
      <c r="F25" s="19" t="s">
        <v>122</v>
      </c>
      <c r="G25" s="19" t="s">
        <v>122</v>
      </c>
      <c r="H25" s="18" t="s">
        <v>121</v>
      </c>
      <c r="I25" s="18" t="s">
        <v>121</v>
      </c>
      <c r="J25" s="18" t="s">
        <v>122</v>
      </c>
      <c r="K25" s="18" t="s">
        <v>121</v>
      </c>
      <c r="L25" s="18" t="s">
        <v>121</v>
      </c>
    </row>
    <row r="26" spans="1:12" x14ac:dyDescent="0.25">
      <c r="A26" s="13" t="s">
        <v>123</v>
      </c>
      <c r="B26" s="12" t="s">
        <v>124</v>
      </c>
      <c r="C26" s="12" t="s">
        <v>124</v>
      </c>
      <c r="D26" s="12" t="s">
        <v>124</v>
      </c>
      <c r="E26" s="12" t="s">
        <v>124</v>
      </c>
      <c r="F26" s="12" t="s">
        <v>125</v>
      </c>
      <c r="G26" s="12" t="s">
        <v>126</v>
      </c>
      <c r="H26" s="12" t="s">
        <v>124</v>
      </c>
      <c r="I26" s="12" t="s">
        <v>124</v>
      </c>
      <c r="J26" s="12" t="s">
        <v>126</v>
      </c>
      <c r="K26" s="12" t="s">
        <v>124</v>
      </c>
      <c r="L26" s="12" t="s">
        <v>124</v>
      </c>
    </row>
    <row r="27" spans="1:12" x14ac:dyDescent="0.25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x14ac:dyDescent="0.25">
      <c r="A28" s="13" t="s">
        <v>130</v>
      </c>
      <c r="B28" s="12">
        <v>6</v>
      </c>
      <c r="C28" s="12">
        <v>6</v>
      </c>
      <c r="D28" s="12">
        <v>6</v>
      </c>
      <c r="E28" s="12">
        <v>6</v>
      </c>
      <c r="F28" s="12">
        <v>6</v>
      </c>
      <c r="G28" s="12">
        <v>6</v>
      </c>
      <c r="H28" s="12">
        <v>6</v>
      </c>
      <c r="I28" s="12">
        <v>6</v>
      </c>
      <c r="J28" s="12">
        <v>6</v>
      </c>
      <c r="K28" s="12">
        <v>6</v>
      </c>
      <c r="L28" s="12">
        <v>6</v>
      </c>
    </row>
    <row r="29" spans="1:12" x14ac:dyDescent="0.25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x14ac:dyDescent="0.25">
      <c r="A30" s="17" t="s">
        <v>132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x14ac:dyDescent="0.25">
      <c r="A31" s="16" t="s">
        <v>116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16" t="s">
        <v>117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25">
      <c r="A33" s="16" t="s">
        <v>118</v>
      </c>
      <c r="B33" s="15">
        <v>0.82779999999999998</v>
      </c>
      <c r="C33" s="15">
        <v>0.9385</v>
      </c>
      <c r="D33" s="15">
        <v>0.84809999999999997</v>
      </c>
      <c r="E33" s="15">
        <v>0.81359999999999999</v>
      </c>
      <c r="F33" s="15">
        <v>0.75019999999999998</v>
      </c>
      <c r="G33" s="15">
        <v>0.69830000000000003</v>
      </c>
      <c r="H33" s="15">
        <v>0.89500000000000002</v>
      </c>
      <c r="I33" s="15">
        <v>0.84470000000000001</v>
      </c>
      <c r="J33" s="15">
        <v>0.72099999999999997</v>
      </c>
      <c r="K33" s="15">
        <v>0.91639999999999999</v>
      </c>
      <c r="L33" s="15">
        <v>0.91239999999999999</v>
      </c>
    </row>
    <row r="34" spans="1:12" x14ac:dyDescent="0.25">
      <c r="A34" s="16" t="s">
        <v>119</v>
      </c>
      <c r="B34" s="15">
        <v>0.10290000000000001</v>
      </c>
      <c r="C34" s="15">
        <v>0.64700000000000002</v>
      </c>
      <c r="D34" s="15">
        <v>0.152</v>
      </c>
      <c r="E34" s="15">
        <v>7.7499999999999999E-2</v>
      </c>
      <c r="F34" s="15">
        <v>0.02</v>
      </c>
      <c r="G34" s="15">
        <v>5.8999999999999999E-3</v>
      </c>
      <c r="H34" s="15">
        <v>0.34539999999999998</v>
      </c>
      <c r="I34" s="15">
        <v>0.1424</v>
      </c>
      <c r="J34" s="15">
        <v>1.0200000000000001E-2</v>
      </c>
      <c r="K34" s="15">
        <v>0.48010000000000003</v>
      </c>
      <c r="L34" s="15">
        <v>0.45219999999999999</v>
      </c>
    </row>
    <row r="35" spans="1:12" x14ac:dyDescent="0.25">
      <c r="A35" s="16" t="s">
        <v>120</v>
      </c>
      <c r="B35" s="21" t="s">
        <v>121</v>
      </c>
      <c r="C35" s="21" t="s">
        <v>121</v>
      </c>
      <c r="D35" s="21" t="s">
        <v>121</v>
      </c>
      <c r="E35" s="21" t="s">
        <v>121</v>
      </c>
      <c r="F35" s="20" t="s">
        <v>122</v>
      </c>
      <c r="G35" s="20" t="s">
        <v>122</v>
      </c>
      <c r="H35" s="21" t="s">
        <v>121</v>
      </c>
      <c r="I35" s="21" t="s">
        <v>121</v>
      </c>
      <c r="J35" s="21" t="s">
        <v>122</v>
      </c>
      <c r="K35" s="21" t="s">
        <v>121</v>
      </c>
      <c r="L35" s="21" t="s">
        <v>121</v>
      </c>
    </row>
    <row r="36" spans="1:12" x14ac:dyDescent="0.25">
      <c r="A36" s="16" t="s">
        <v>123</v>
      </c>
      <c r="B36" s="15" t="s">
        <v>124</v>
      </c>
      <c r="C36" s="15" t="s">
        <v>124</v>
      </c>
      <c r="D36" s="15" t="s">
        <v>124</v>
      </c>
      <c r="E36" s="15" t="s">
        <v>124</v>
      </c>
      <c r="F36" s="15" t="s">
        <v>125</v>
      </c>
      <c r="G36" s="15" t="s">
        <v>126</v>
      </c>
      <c r="H36" s="15" t="s">
        <v>124</v>
      </c>
      <c r="I36" s="15" t="s">
        <v>124</v>
      </c>
      <c r="J36" s="15" t="s">
        <v>125</v>
      </c>
      <c r="K36" s="15" t="s">
        <v>124</v>
      </c>
      <c r="L36" s="15" t="s">
        <v>124</v>
      </c>
    </row>
    <row r="37" spans="1:12" x14ac:dyDescent="0.25">
      <c r="A37" s="16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x14ac:dyDescent="0.25">
      <c r="A38" s="16" t="s">
        <v>127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 x14ac:dyDescent="0.25">
      <c r="A39" s="16" t="s">
        <v>128</v>
      </c>
      <c r="B39" s="15">
        <v>0.2404</v>
      </c>
      <c r="C39" s="15">
        <v>0.191</v>
      </c>
      <c r="D39" s="15">
        <v>0.25480000000000003</v>
      </c>
      <c r="E39" s="15">
        <v>0.2843</v>
      </c>
      <c r="F39" s="15">
        <v>0.33510000000000001</v>
      </c>
      <c r="G39" s="15">
        <v>0.38919999999999999</v>
      </c>
      <c r="H39" s="15">
        <v>0.22650000000000001</v>
      </c>
      <c r="I39" s="15">
        <v>0.27489999999999998</v>
      </c>
      <c r="J39" s="15">
        <v>0.38729999999999998</v>
      </c>
      <c r="K39" s="15">
        <v>0.18590000000000001</v>
      </c>
      <c r="L39" s="15">
        <v>0.1724</v>
      </c>
    </row>
    <row r="40" spans="1:12" x14ac:dyDescent="0.25">
      <c r="A40" s="16" t="s">
        <v>119</v>
      </c>
      <c r="B40" s="15" t="s">
        <v>129</v>
      </c>
      <c r="C40" s="15" t="s">
        <v>129</v>
      </c>
      <c r="D40" s="15" t="s">
        <v>129</v>
      </c>
      <c r="E40" s="15" t="s">
        <v>129</v>
      </c>
      <c r="F40" s="15">
        <v>3.39E-2</v>
      </c>
      <c r="G40" s="15">
        <v>4.8999999999999998E-3</v>
      </c>
      <c r="H40" s="15" t="s">
        <v>129</v>
      </c>
      <c r="I40" s="15" t="s">
        <v>129</v>
      </c>
      <c r="J40" s="15">
        <v>5.3E-3</v>
      </c>
      <c r="K40" s="15" t="s">
        <v>129</v>
      </c>
      <c r="L40" s="15" t="s">
        <v>129</v>
      </c>
    </row>
    <row r="41" spans="1:12" x14ac:dyDescent="0.25">
      <c r="A41" s="16" t="s">
        <v>120</v>
      </c>
      <c r="B41" s="21" t="s">
        <v>121</v>
      </c>
      <c r="C41" s="21" t="s">
        <v>121</v>
      </c>
      <c r="D41" s="21" t="s">
        <v>121</v>
      </c>
      <c r="E41" s="21" t="s">
        <v>121</v>
      </c>
      <c r="F41" s="20" t="s">
        <v>122</v>
      </c>
      <c r="G41" s="20" t="s">
        <v>122</v>
      </c>
      <c r="H41" s="21" t="s">
        <v>121</v>
      </c>
      <c r="I41" s="21" t="s">
        <v>121</v>
      </c>
      <c r="J41" s="21" t="s">
        <v>122</v>
      </c>
      <c r="K41" s="21" t="s">
        <v>121</v>
      </c>
      <c r="L41" s="21" t="s">
        <v>121</v>
      </c>
    </row>
    <row r="42" spans="1:12" x14ac:dyDescent="0.25">
      <c r="A42" s="16" t="s">
        <v>123</v>
      </c>
      <c r="B42" s="15" t="s">
        <v>124</v>
      </c>
      <c r="C42" s="15" t="s">
        <v>124</v>
      </c>
      <c r="D42" s="15" t="s">
        <v>124</v>
      </c>
      <c r="E42" s="15" t="s">
        <v>124</v>
      </c>
      <c r="F42" s="15" t="s">
        <v>125</v>
      </c>
      <c r="G42" s="15" t="s">
        <v>126</v>
      </c>
      <c r="H42" s="15" t="s">
        <v>124</v>
      </c>
      <c r="I42" s="15" t="s">
        <v>124</v>
      </c>
      <c r="J42" s="15" t="s">
        <v>126</v>
      </c>
      <c r="K42" s="15" t="s">
        <v>124</v>
      </c>
      <c r="L42" s="15" t="s">
        <v>124</v>
      </c>
    </row>
    <row r="43" spans="1:12" x14ac:dyDescent="0.25">
      <c r="A43" s="16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x14ac:dyDescent="0.25">
      <c r="A44" s="16" t="s">
        <v>130</v>
      </c>
      <c r="B44" s="15">
        <v>6</v>
      </c>
      <c r="C44" s="15">
        <v>6</v>
      </c>
      <c r="D44" s="15">
        <v>6</v>
      </c>
      <c r="E44" s="15">
        <v>6</v>
      </c>
      <c r="F44" s="15">
        <v>6</v>
      </c>
      <c r="G44" s="15">
        <v>6</v>
      </c>
      <c r="H44" s="15">
        <v>6</v>
      </c>
      <c r="I44" s="15">
        <v>6</v>
      </c>
      <c r="J44" s="15">
        <v>6</v>
      </c>
      <c r="K44" s="15">
        <v>6</v>
      </c>
      <c r="L44" s="15">
        <v>6</v>
      </c>
    </row>
    <row r="45" spans="1:12" x14ac:dyDescent="0.25">
      <c r="A45" s="16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C279-D6FD-42B1-AADC-E0B402345A48}">
  <dimension ref="A1:I23"/>
  <sheetViews>
    <sheetView tabSelected="1" workbookViewId="0">
      <selection activeCell="C18" sqref="C18"/>
    </sheetView>
  </sheetViews>
  <sheetFormatPr defaultRowHeight="13.8" x14ac:dyDescent="0.25"/>
  <cols>
    <col min="1" max="1" width="33.09765625" bestFit="1" customWidth="1"/>
    <col min="2" max="2" width="11.19921875" customWidth="1"/>
    <col min="8" max="8" width="33.09765625" bestFit="1" customWidth="1"/>
  </cols>
  <sheetData>
    <row r="1" spans="1:9" x14ac:dyDescent="0.25">
      <c r="A1" s="14" t="s">
        <v>133</v>
      </c>
      <c r="H1" s="14" t="s">
        <v>148</v>
      </c>
    </row>
    <row r="3" spans="1:9" x14ac:dyDescent="0.25">
      <c r="A3" s="16" t="s">
        <v>134</v>
      </c>
      <c r="B3" s="15"/>
      <c r="C3" s="15"/>
      <c r="D3" s="15"/>
      <c r="E3" s="15"/>
      <c r="F3" s="15"/>
      <c r="H3" s="16" t="s">
        <v>134</v>
      </c>
      <c r="I3" s="15"/>
    </row>
    <row r="4" spans="1:9" x14ac:dyDescent="0.25">
      <c r="A4" s="16" t="s">
        <v>135</v>
      </c>
      <c r="B4" s="15" t="s">
        <v>136</v>
      </c>
      <c r="C4" s="15"/>
      <c r="D4" s="15"/>
      <c r="E4" s="15"/>
      <c r="F4" s="15"/>
      <c r="H4" s="16" t="s">
        <v>135</v>
      </c>
      <c r="I4" s="15" t="s">
        <v>149</v>
      </c>
    </row>
    <row r="5" spans="1:9" x14ac:dyDescent="0.25">
      <c r="A5" s="16" t="s">
        <v>137</v>
      </c>
      <c r="B5" s="21">
        <v>1E-3</v>
      </c>
      <c r="C5" s="15"/>
      <c r="D5" s="15"/>
      <c r="E5" s="15"/>
      <c r="F5" s="15"/>
      <c r="H5" s="16" t="s">
        <v>137</v>
      </c>
      <c r="I5" s="21">
        <v>0.28839999999999999</v>
      </c>
    </row>
    <row r="6" spans="1:9" x14ac:dyDescent="0.25">
      <c r="A6" s="16" t="s">
        <v>138</v>
      </c>
      <c r="B6" s="15" t="s">
        <v>139</v>
      </c>
      <c r="C6" s="15"/>
      <c r="D6" s="15"/>
      <c r="E6" s="15"/>
      <c r="F6" s="15"/>
      <c r="H6" s="16" t="s">
        <v>138</v>
      </c>
      <c r="I6" s="15" t="s">
        <v>124</v>
      </c>
    </row>
    <row r="7" spans="1:9" x14ac:dyDescent="0.25">
      <c r="A7" s="16" t="s">
        <v>140</v>
      </c>
      <c r="B7" s="15" t="s">
        <v>121</v>
      </c>
      <c r="C7" s="15"/>
      <c r="D7" s="15"/>
      <c r="E7" s="15"/>
      <c r="F7" s="15"/>
      <c r="H7" s="16" t="s">
        <v>140</v>
      </c>
      <c r="I7" s="15" t="s">
        <v>122</v>
      </c>
    </row>
    <row r="8" spans="1:9" x14ac:dyDescent="0.25">
      <c r="A8" s="16"/>
      <c r="B8" s="15"/>
      <c r="C8" s="15"/>
      <c r="D8" s="15"/>
      <c r="E8" s="15"/>
      <c r="F8" s="15"/>
      <c r="H8" s="16"/>
      <c r="I8" s="15"/>
    </row>
    <row r="9" spans="1:9" x14ac:dyDescent="0.25">
      <c r="A9" s="16" t="s">
        <v>141</v>
      </c>
      <c r="B9" s="15"/>
      <c r="C9" s="15"/>
      <c r="D9" s="15"/>
      <c r="E9" s="15"/>
      <c r="F9" s="15"/>
      <c r="H9" s="16" t="s">
        <v>141</v>
      </c>
      <c r="I9" s="15"/>
    </row>
    <row r="10" spans="1:9" x14ac:dyDescent="0.25">
      <c r="A10" s="16" t="s">
        <v>142</v>
      </c>
      <c r="B10" s="15">
        <v>136.4</v>
      </c>
      <c r="C10" s="15"/>
      <c r="D10" s="15"/>
      <c r="E10" s="15"/>
      <c r="F10" s="15"/>
      <c r="H10" s="16" t="s">
        <v>142</v>
      </c>
      <c r="I10" s="15">
        <v>65.86</v>
      </c>
    </row>
    <row r="11" spans="1:9" x14ac:dyDescent="0.25">
      <c r="A11" s="16" t="s">
        <v>137</v>
      </c>
      <c r="B11" s="21" t="s">
        <v>143</v>
      </c>
      <c r="C11" s="15"/>
      <c r="D11" s="15"/>
      <c r="E11" s="15"/>
      <c r="F11" s="15"/>
      <c r="H11" s="16" t="s">
        <v>137</v>
      </c>
      <c r="I11" s="21" t="s">
        <v>143</v>
      </c>
    </row>
    <row r="12" spans="1:9" x14ac:dyDescent="0.25">
      <c r="A12" s="16" t="s">
        <v>138</v>
      </c>
      <c r="B12" s="15" t="s">
        <v>144</v>
      </c>
      <c r="C12" s="15"/>
      <c r="D12" s="15"/>
      <c r="E12" s="15"/>
      <c r="F12" s="15"/>
      <c r="H12" s="16" t="s">
        <v>138</v>
      </c>
      <c r="I12" s="15" t="s">
        <v>144</v>
      </c>
    </row>
    <row r="13" spans="1:9" x14ac:dyDescent="0.25">
      <c r="A13" s="16" t="s">
        <v>140</v>
      </c>
      <c r="B13" s="15" t="s">
        <v>121</v>
      </c>
      <c r="C13" s="15"/>
      <c r="D13" s="15"/>
      <c r="E13" s="15"/>
      <c r="F13" s="15"/>
      <c r="H13" s="16" t="s">
        <v>140</v>
      </c>
      <c r="I13" s="15" t="s">
        <v>121</v>
      </c>
    </row>
    <row r="14" spans="1:9" x14ac:dyDescent="0.25">
      <c r="A14" s="16"/>
      <c r="B14" s="15"/>
      <c r="C14" s="15"/>
      <c r="D14" s="15"/>
      <c r="E14" s="15"/>
      <c r="F14" s="15"/>
    </row>
    <row r="15" spans="1:9" x14ac:dyDescent="0.25">
      <c r="A15" s="16"/>
      <c r="B15" s="15"/>
      <c r="C15" s="15"/>
      <c r="D15" s="15"/>
      <c r="E15" s="15"/>
      <c r="F15" s="15"/>
    </row>
    <row r="16" spans="1:9" x14ac:dyDescent="0.25">
      <c r="A16" s="16"/>
      <c r="B16" s="15"/>
      <c r="C16" s="15"/>
      <c r="D16" s="15"/>
      <c r="E16" s="15"/>
      <c r="F16" s="15"/>
    </row>
    <row r="17" spans="1:9" x14ac:dyDescent="0.25">
      <c r="A17" s="16"/>
      <c r="B17" s="15"/>
      <c r="C17" s="15"/>
      <c r="D17" s="15"/>
      <c r="E17" s="15"/>
      <c r="F17" s="15"/>
    </row>
    <row r="18" spans="1:9" x14ac:dyDescent="0.25">
      <c r="A18" s="16"/>
      <c r="B18" s="15"/>
      <c r="C18" s="15"/>
      <c r="D18" s="15"/>
      <c r="E18" s="15"/>
      <c r="F18" s="15"/>
    </row>
    <row r="19" spans="1:9" x14ac:dyDescent="0.25">
      <c r="A19" s="16"/>
      <c r="B19" s="15"/>
      <c r="C19" s="15"/>
      <c r="D19" s="15"/>
      <c r="E19" s="15"/>
      <c r="F19" s="15"/>
    </row>
    <row r="20" spans="1:9" x14ac:dyDescent="0.25">
      <c r="A20" s="16" t="s">
        <v>145</v>
      </c>
      <c r="B20" s="15"/>
      <c r="C20" s="15"/>
      <c r="D20" s="15"/>
      <c r="E20" s="15"/>
      <c r="F20" s="15"/>
      <c r="H20" s="16" t="s">
        <v>145</v>
      </c>
      <c r="I20" s="15"/>
    </row>
    <row r="21" spans="1:9" x14ac:dyDescent="0.25">
      <c r="A21" s="16" t="s">
        <v>146</v>
      </c>
      <c r="B21" s="15">
        <v>11</v>
      </c>
      <c r="C21" s="15"/>
      <c r="D21" s="15"/>
      <c r="E21" s="15"/>
      <c r="F21" s="15"/>
      <c r="H21" s="16" t="s">
        <v>146</v>
      </c>
      <c r="I21" s="15">
        <v>11</v>
      </c>
    </row>
    <row r="22" spans="1:9" x14ac:dyDescent="0.25">
      <c r="A22" s="16" t="s">
        <v>147</v>
      </c>
      <c r="B22" s="15">
        <v>66</v>
      </c>
      <c r="C22" s="15"/>
      <c r="D22" s="15"/>
      <c r="E22" s="15"/>
      <c r="F22" s="15"/>
      <c r="H22" s="16" t="s">
        <v>147</v>
      </c>
      <c r="I22" s="15">
        <v>44</v>
      </c>
    </row>
    <row r="23" spans="1:9" x14ac:dyDescent="0.25">
      <c r="A23" s="16"/>
      <c r="B23" s="15"/>
      <c r="C23" s="15"/>
      <c r="D23" s="15"/>
      <c r="E23" s="15"/>
      <c r="F2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</vt:lpstr>
      <vt:lpstr>With Stats</vt:lpstr>
      <vt:lpstr>Photos_Averages</vt:lpstr>
      <vt:lpstr>Site_Averages_combined</vt:lpstr>
      <vt:lpstr>Transect_Averages</vt:lpstr>
      <vt:lpstr>Site_Averages_corals_X</vt:lpstr>
      <vt:lpstr>Normalety</vt:lpstr>
      <vt:lpstr>homogeneity of variances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דר גולומב</cp:lastModifiedBy>
  <dcterms:created xsi:type="dcterms:W3CDTF">2025-06-28T12:37:41Z</dcterms:created>
  <dcterms:modified xsi:type="dcterms:W3CDTF">2025-09-15T09:03:38Z</dcterms:modified>
</cp:coreProperties>
</file>